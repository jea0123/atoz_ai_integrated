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dev\workspace\ai_integrated\templates\"/>
    </mc:Choice>
  </mc:AlternateContent>
  <bookViews>
    <workbookView xWindow="2055" yWindow="15" windowWidth="25815" windowHeight="20805" tabRatio="885"/>
  </bookViews>
  <sheets>
    <sheet name="양식" sheetId="3" r:id="rId1"/>
    <sheet name="단위테스트결과서" sheetId="6" state="hidden" r:id="rId2"/>
    <sheet name="풍수해피해예측시스템" sheetId="7" state="hidden" r:id="rId3"/>
  </sheets>
  <definedNames>
    <definedName name="_xlnm._FilterDatabase" localSheetId="1" hidden="1">단위테스트결과서!$A$6:$W$665</definedName>
    <definedName name="_xlnm._FilterDatabase" localSheetId="2" hidden="1">풍수해피해예측시스템!$A$5:$W$519</definedName>
    <definedName name="_kwy1" hidden="1">{#N/A,#N/A,FALSE,"ALM-ASISC"}</definedName>
    <definedName name="_Order1" hidden="1">255</definedName>
    <definedName name="_Order2" hidden="1">255</definedName>
    <definedName name="_Table1_In1" hidden="1">#REF!</definedName>
    <definedName name="_Table1_Out" hidden="1">#REF!</definedName>
    <definedName name="AA" hidden="1">#REF!</definedName>
    <definedName name="asd">#REF!</definedName>
    <definedName name="cwe" hidden="1">{#N/A,#N/A,FALSE,"ALM-ASISC"}</definedName>
    <definedName name="D" hidden="1">{#N/A,#N/A,FALSE,"ALM-ASISC"}</definedName>
    <definedName name="ddd" localSheetId="2">#REF!</definedName>
    <definedName name="ddd">#REF!</definedName>
    <definedName name="DJDJDJDJ" hidden="1">{#N/A,#N/A,FALSE,"3가";#N/A,#N/A,FALSE,"3나";#N/A,#N/A,FALSE,"3다"}</definedName>
    <definedName name="dk" hidden="1">{#N/A,#N/A,FALSE,"ALM-ASISC"}</definedName>
    <definedName name="dkjdlfw" hidden="1">{#N/A,#N/A,FALSE,"ALM-ASISC"}</definedName>
    <definedName name="dklw" hidden="1">{#N/A,#N/A,FALSE,"ALM-ASISC"}</definedName>
    <definedName name="dkw" hidden="1">{#N/A,#N/A,FALSE,"ALM-ASISC"}</definedName>
    <definedName name="dsfga" hidden="1">{#N/A,#N/A,FALSE,"3가";#N/A,#N/A,FALSE,"3나";#N/A,#N/A,FALSE,"3다"}</definedName>
    <definedName name="er" hidden="1">{#N/A,#N/A,FALSE,"ALM-ASISC"}</definedName>
    <definedName name="FF" hidden="1">#REF!</definedName>
    <definedName name="fkwheku" hidden="1">{#N/A,#N/A,FALSE,"ALM-ASISC"}</definedName>
    <definedName name="gfdsdfg" hidden="1">{#N/A,#N/A,FALSE,"3가";#N/A,#N/A,FALSE,"3나";#N/A,#N/A,FALSE,"3다"}</definedName>
    <definedName name="H" hidden="1">{#N/A,#N/A,FALSE,"3가";#N/A,#N/A,FALSE,"3나";#N/A,#N/A,FALSE,"3다"}</definedName>
    <definedName name="hejlkw" hidden="1">{#N/A,#N/A,FALSE,"ALM-ASISC"}</definedName>
    <definedName name="hsdgfjhf" hidden="1">{#N/A,#N/A,FALSE,"ALM-ASISC"}</definedName>
    <definedName name="IWFIC" hidden="1">{#N/A,#N/A,FALSE,"ALM-ASISC"}</definedName>
    <definedName name="jdkl" hidden="1">{#N/A,#N/A,FALSE,"ALM-ASISC"}</definedName>
    <definedName name="jeklw" hidden="1">{#N/A,#N/A,FALSE,"ALM-ASISC"}</definedName>
    <definedName name="KCCKC" hidden="1">{#N/A,#N/A,FALSE,"3가";#N/A,#N/A,FALSE,"3나";#N/A,#N/A,FALSE,"3다"}</definedName>
    <definedName name="kdjlw" hidden="1">{#N/A,#N/A,FALSE,"ALM-ASISC"}</definedName>
    <definedName name="kdljw" hidden="1">{#N/A,#N/A,FALSE,"ALM-ASISC"}</definedName>
    <definedName name="KDLW" hidden="1">{#N/A,#N/A,FALSE,"ALM-ASISC"}</definedName>
    <definedName name="kldjwl" hidden="1">{#N/A,#N/A,FALSE,"ALM-ASISC"}</definedName>
    <definedName name="kljdklw" hidden="1">{#N/A,#N/A,FALSE,"ALM-ASISC"}</definedName>
    <definedName name="klwjdk" hidden="1">{#N/A,#N/A,FALSE,"ALM-ASISC"}</definedName>
    <definedName name="kwy" hidden="1">{#N/A,#N/A,FALSE,"ALM-ASISC"}</definedName>
    <definedName name="PERT" hidden="1">{#N/A,#N/A,FALSE,"ALM-ASISC"}</definedName>
    <definedName name="_xlnm.Print_Area" localSheetId="1">단위테스트결과서!$A$1:$W$677</definedName>
    <definedName name="_xlnm.Print_Area" localSheetId="0">양식!$A$1:$M$7</definedName>
    <definedName name="qq" hidden="1">{#N/A,#N/A,FALSE,"ALM-ASISC"}</definedName>
    <definedName name="rr" hidden="1">#REF!</definedName>
    <definedName name="RRR" hidden="1">#REF!</definedName>
    <definedName name="s" hidden="1">{#N/A,#N/A,FALSE,"3가";#N/A,#N/A,FALSE,"3나";#N/A,#N/A,FALSE,"3다"}</definedName>
    <definedName name="SS" hidden="1">#REF!</definedName>
    <definedName name="test">#REF!</definedName>
    <definedName name="test2" hidden="1">#REF!</definedName>
    <definedName name="TOTAL" hidden="1">{#N/A,#N/A,FALSE,"ALM-ASISC"}</definedName>
    <definedName name="tt" hidden="1">#REF!</definedName>
    <definedName name="vbkjwhe" hidden="1">{#N/A,#N/A,FALSE,"ALM-ASISC"}</definedName>
    <definedName name="vdwf" hidden="1">{#N/A,#N/A,FALSE,"ALM-ASISC"}</definedName>
    <definedName name="vewtf" hidden="1">{#N/A,#N/A,FALSE,"ALM-ASISC"}</definedName>
    <definedName name="vhjkwghe" hidden="1">{#N/A,#N/A,FALSE,"ALM-ASISC"}</definedName>
    <definedName name="vhjkwhe" hidden="1">{#N/A,#N/A,FALSE,"ALM-ASISC"}</definedName>
    <definedName name="vhjkwlejh" hidden="1">{#N/A,#N/A,FALSE,"ALM-ASISC"}</definedName>
    <definedName name="vhjweklh" hidden="1">{#N/A,#N/A,FALSE,"ALM-ASISC"}</definedName>
    <definedName name="vhjwkhe" hidden="1">{#N/A,#N/A,FALSE,"ALM-ASISC"}</definedName>
    <definedName name="vhjwoe" hidden="1">{#N/A,#N/A,FALSE,"ALM-ASISC"}</definedName>
    <definedName name="vhjwole" hidden="1">{#N/A,#N/A,FALSE,"ALM-ASISC"}</definedName>
    <definedName name="vhlkjw" hidden="1">{#N/A,#N/A,FALSE,"ALM-ASISC"}</definedName>
    <definedName name="vhwjkeh" hidden="1">{#N/A,#N/A,FALSE,"ALM-ASISC"}</definedName>
    <definedName name="vjhkldw" hidden="1">{#N/A,#N/A,FALSE,"ALM-ASISC"}</definedName>
    <definedName name="vjkldw" hidden="1">{#N/A,#N/A,FALSE,"ALM-ASISC"}</definedName>
    <definedName name="vjklf" hidden="1">{#N/A,#N/A,FALSE,"ALM-ASISC"}</definedName>
    <definedName name="vjkls" hidden="1">{#N/A,#N/A,FALSE,"ALM-ASISC"}</definedName>
    <definedName name="vjkwhe" hidden="1">{#N/A,#N/A,FALSE,"ALM-ASISC"}</definedName>
    <definedName name="vjkwhgekj" hidden="1">{#N/A,#N/A,FALSE,"ALM-ASISC"}</definedName>
    <definedName name="vjpowei" hidden="1">{#N/A,#N/A,FALSE,"ALM-ASISC"}</definedName>
    <definedName name="vjwke" hidden="1">{#N/A,#N/A,FALSE,"ALM-ASISC"}</definedName>
    <definedName name="vjwkhekl" hidden="1">{#N/A,#N/A,FALSE,"ALM-ASISC"}</definedName>
    <definedName name="vjwoiei" hidden="1">{#N/A,#N/A,FALSE,"ALM-ASISC"}</definedName>
    <definedName name="vjwoieuhj" hidden="1">{#N/A,#N/A,FALSE,"ALM-ASISC"}</definedName>
    <definedName name="vkwle" hidden="1">{#N/A,#N/A,FALSE,"ALM-ASISC"}</definedName>
    <definedName name="vpowoie" hidden="1">{#N/A,#N/A,FALSE,"ALM-ASISC"}</definedName>
    <definedName name="vw" hidden="1">{#N/A,#N/A,FALSE,"ALM-ASISC"}</definedName>
    <definedName name="vwdfw" hidden="1">{#N/A,#N/A,FALSE,"ALM-ASISC"}</definedName>
    <definedName name="vwdfwe" hidden="1">{#N/A,#N/A,FALSE,"ALM-ASISC"}</definedName>
    <definedName name="vwe" hidden="1">{#N/A,#N/A,FALSE,"ALM-ASISC"}</definedName>
    <definedName name="vwef" hidden="1">{#N/A,#N/A,FALSE,"ALM-ASISC"}</definedName>
    <definedName name="vwefg" hidden="1">{#N/A,#N/A,FALSE,"ALM-ASISC"}</definedName>
    <definedName name="vwer" hidden="1">{#N/A,#N/A,FALSE,"ALM-ASISC"}</definedName>
    <definedName name="vwvw" hidden="1">{#N/A,#N/A,FALSE,"ALM-ASISC"}</definedName>
    <definedName name="wd" hidden="1">{#N/A,#N/A,FALSE,"ALM-ASISC"}</definedName>
    <definedName name="werwe" hidden="1">{#N/A,#N/A,FALSE,"ALM-ASISC"}</definedName>
    <definedName name="wkeljd" hidden="1">{#N/A,#N/A,FALSE,"ALM-ASISC"}</definedName>
    <definedName name="wqewqe" hidden="1">{#N/A,#N/A,FALSE,"ALM-ASISC"}</definedName>
    <definedName name="wrn.aaa." hidden="1">{#N/A,#N/A,FALSE,"ALM-ASISC"}</definedName>
    <definedName name="wrn.TEST." hidden="1">{#N/A,#N/A,FALSE,"3가";#N/A,#N/A,FALSE,"3나";#N/A,#N/A,FALSE,"3다"}</definedName>
    <definedName name="wte" hidden="1">{#N/A,#N/A,FALSE,"ALM-ASISC"}</definedName>
    <definedName name="ww" hidden="1">#REF!</definedName>
    <definedName name="Z_2DBA1971_F63C_4538_9157_4FE547FE6FAC_.wvu.FilterData" localSheetId="1" hidden="1">단위테스트결과서!$A$1:$M$665</definedName>
    <definedName name="Z_2DBA1971_F63C_4538_9157_4FE547FE6FAC_.wvu.Rows" localSheetId="1" hidden="1">단위테스트결과서!#REF!</definedName>
    <definedName name="Z_496B95F3_A793_4259_A080_C3A567C7BC9F_.wvu.FilterData" localSheetId="1" hidden="1">단위테스트결과서!$A$6:$N$665</definedName>
    <definedName name="Z_4C99641C_BA26_4B09_8531_1E03E4D7529D_.wvu.FilterData" localSheetId="1" hidden="1">단위테스트결과서!$A$6:$N$665</definedName>
    <definedName name="Z_54E2B3E3_CB48_44B7_AE32_A217BDC9D3A4_.wvu.FilterData" localSheetId="1" hidden="1">단위테스트결과서!$A$6:$N$665</definedName>
    <definedName name="Z_5596638C_2DBA_4B74_9023_12716802F5F4_.wvu.FilterData" localSheetId="1" hidden="1">단위테스트결과서!$A$1:$M$665</definedName>
    <definedName name="Z_5596638C_2DBA_4B74_9023_12716802F5F4_.wvu.Rows" localSheetId="1" hidden="1">단위테스트결과서!#REF!</definedName>
    <definedName name="Z_94BC8AE6_5FC0_43BE_8975_C0C17595A693_.wvu.FilterData" localSheetId="1" hidden="1">단위테스트결과서!$A$6:$N$665</definedName>
    <definedName name="Z_94BC8AE6_5FC0_43BE_8975_C0C17595A693_.wvu.Rows" localSheetId="1" hidden="1">단위테스트결과서!#REF!</definedName>
    <definedName name="Z_9C195A4E_7A0F_4139_9204_62D0338084E4_.wvu.FilterData" localSheetId="1" hidden="1">단위테스트결과서!$A$1:$M$665</definedName>
    <definedName name="Z_9C195A4E_7A0F_4139_9204_62D0338084E4_.wvu.Rows" localSheetId="1" hidden="1">단위테스트결과서!#REF!</definedName>
    <definedName name="Z_9C32C824_6E95_4300_8CCE_4C2A65C87DB3_.wvu.FilterData" localSheetId="1" hidden="1">단위테스트결과서!$A$3:$N$665</definedName>
    <definedName name="Z_B0946A7D_6A1B_46CA_95D4_AA006DB4B8FF_.wvu.FilterData" localSheetId="1" hidden="1">단위테스트결과서!$A$6:$N$665</definedName>
    <definedName name="Z_B0946A7D_6A1B_46CA_95D4_AA006DB4B8FF_.wvu.Rows" localSheetId="1" hidden="1">단위테스트결과서!#REF!</definedName>
    <definedName name="Z_BF7B9CB9_D42D_4EB5_A94B_835EDBEBD445_.wvu.FilterData" localSheetId="1" hidden="1">단위테스트결과서!$A$1:$M$665</definedName>
    <definedName name="Z_BF7B9CB9_D42D_4EB5_A94B_835EDBEBD445_.wvu.Rows" localSheetId="1" hidden="1">단위테스트결과서!#REF!</definedName>
    <definedName name="Z_CF3C01E4_5E20_407F_A5AB_B15B29682D5D_.wvu.FilterData" localSheetId="1" hidden="1">단위테스트결과서!$A$1:$M$665</definedName>
    <definedName name="Z_CF3C01E4_5E20_407F_A5AB_B15B29682D5D_.wvu.Rows" localSheetId="1" hidden="1">단위테스트결과서!#REF!</definedName>
    <definedName name="Z_E6245A1C_BB88_4DB4_90C5_314034D0C4C7_.wvu.FilterData" localSheetId="1" hidden="1">단위테스트결과서!$A$3:$N$665</definedName>
    <definedName name="Z_EBE13F39_B4AA_4DCA_96AF_28FE6686E423_.wvu.FilterData" localSheetId="1" hidden="1">단위테스트결과서!$A$1:$M$665</definedName>
    <definedName name="Z_EFCE4C9F_6BD9_41FD_9FD8_3F3586FC0455_.wvu.FilterData" localSheetId="1" hidden="1">단위테스트결과서!$A$1:$M$665</definedName>
    <definedName name="ㄱ" hidden="1">{#N/A,#N/A,FALSE,"3가";#N/A,#N/A,FALSE,"3나";#N/A,#N/A,FALSE,"3다"}</definedName>
    <definedName name="ㄱㅎㄷㄱㅎ" hidden="1">{#N/A,#N/A,FALSE,"ALM-ASISC"}</definedName>
    <definedName name="가" hidden="1">{#N/A,#N/A,FALSE,"ALM-ASISC"}</definedName>
    <definedName name="공사설명서" hidden="1">{#N/A,#N/A,FALSE,"ALM-ASISC"}</definedName>
    <definedName name="ㄴ" hidden="1">#REF!</definedName>
    <definedName name="ㄴㄴㄱ" hidden="1">{#N/A,#N/A,FALSE,"ALM-ASISC"}</definedName>
    <definedName name="ㄴㄹ" hidden="1">{#N/A,#N/A,FALSE,"ALM-ASISC"}</definedName>
    <definedName name="ㄴ아러" hidden="1">{#N/A,#N/A,FALSE,"ALM-ASISC"}</definedName>
    <definedName name="나" hidden="1">{#N/A,#N/A,FALSE,"ALM-ASISC"}</definedName>
    <definedName name="ㄷ가" hidden="1">{#N/A,#N/A,FALSE,"ALM-ASISC"}</definedName>
    <definedName name="다" hidden="1">{#N/A,#N/A,FALSE,"ALM-ASISC"}</definedName>
    <definedName name="두지" hidden="1">{#N/A,#N/A,FALSE,"ALM-ASISC"}</definedName>
    <definedName name="둑ㅈ" hidden="1">{#N/A,#N/A,FALSE,"ALM-ASISC"}</definedName>
    <definedName name="ㄹㅇㅁㄴㄹ" hidden="1">{#N/A,#N/A,FALSE,"3가";#N/A,#N/A,FALSE,"3나";#N/A,#N/A,FALSE,"3다"}</definedName>
    <definedName name="라" hidden="1">{#N/A,#N/A,FALSE,"ALM-ASISC"}</definedName>
    <definedName name="ㄻㄹ" hidden="1">{#N/A,#N/A,FALSE,"3가";#N/A,#N/A,FALSE,"3나";#N/A,#N/A,FALSE,"3다"}</definedName>
    <definedName name="ㅁ" hidden="1">#REF!</definedName>
    <definedName name="ㅁㄻㄴㄹ" hidden="1">{#N/A,#N/A,FALSE,"3가";#N/A,#N/A,FALSE,"3나";#N/A,#N/A,FALSE,"3다"}</definedName>
    <definedName name="ㅁㅁㅁ" hidden="1">{#N/A,#N/A,FALSE,"3가";#N/A,#N/A,FALSE,"3나";#N/A,#N/A,FALSE,"3다"}</definedName>
    <definedName name="마" hidden="1">{#N/A,#N/A,FALSE,"ALM-ASISC"}</definedName>
    <definedName name="ㅂ" hidden="1">#REF!</definedName>
    <definedName name="바" hidden="1">{#N/A,#N/A,FALSE,"ALM-ASISC"}</definedName>
    <definedName name="버전" localSheetId="1">#REF!</definedName>
    <definedName name="버전" localSheetId="2">#REF!</definedName>
    <definedName name="버전">#REF!</definedName>
    <definedName name="변경내역" hidden="1">{#N/A,#N/A,FALSE,"3가";#N/A,#N/A,FALSE,"3나";#N/A,#N/A,FALSE,"3다"}</definedName>
    <definedName name="보" hidden="1">{#N/A,#N/A,FALSE,"3가";#N/A,#N/A,FALSE,"3나";#N/A,#N/A,FALSE,"3다"}</definedName>
    <definedName name="ㅅㅅㅅ" hidden="1">#REF!</definedName>
    <definedName name="사" hidden="1">{#N/A,#N/A,FALSE,"ALM-ASISC"}</definedName>
    <definedName name="수" hidden="1">{#N/A,#N/A,FALSE,"ALM-ASISC"}</definedName>
    <definedName name="수정" hidden="1">{#N/A,#N/A,FALSE,"ALM-ASISC"}</definedName>
    <definedName name="수정1" hidden="1">{#N/A,#N/A,FALSE,"ALM-ASISC"}</definedName>
    <definedName name="수정2" hidden="1">{#N/A,#N/A,FALSE,"ALM-ASISC"}</definedName>
    <definedName name="수정3" hidden="1">{#N/A,#N/A,FALSE,"ALM-ASISC"}</definedName>
    <definedName name="수정4" hidden="1">{#N/A,#N/A,FALSE,"ALM-ASISC"}</definedName>
    <definedName name="수정5" hidden="1">{#N/A,#N/A,FALSE,"ALM-ASISC"}</definedName>
    <definedName name="수정6" hidden="1">{#N/A,#N/A,FALSE,"ALM-ASISC"}</definedName>
    <definedName name="신설변경" hidden="1">{#N/A,#N/A,FALSE,"3가";#N/A,#N/A,FALSE,"3나";#N/A,#N/A,FALSE,"3다"}</definedName>
    <definedName name="ㅇ나닐ㄷ" hidden="1">{#N/A,#N/A,FALSE,"ALM-ASISC"}</definedName>
    <definedName name="ㅇㄹㅇ" hidden="1">{#N/A,#N/A,FALSE,"3가";#N/A,#N/A,FALSE,"3나";#N/A,#N/A,FALSE,"3다"}</definedName>
    <definedName name="ㅇㄹㅈㄷ" hidden="1">{#N/A,#N/A,FALSE,"ALM-ASISC"}</definedName>
    <definedName name="ㅇㅀㅇㅁㄹ" hidden="1">{#N/A,#N/A,FALSE,"3가";#N/A,#N/A,FALSE,"3나";#N/A,#N/A,FALSE,"3다"}</definedName>
    <definedName name="ㅇㅇㄹㅈㅈ" hidden="1">{#N/A,#N/A,FALSE,"ALM-ASISC"}</definedName>
    <definedName name="ㅇ아" hidden="1">{#N/A,#N/A,FALSE,"3가";#N/A,#N/A,FALSE,"3나";#N/A,#N/A,FALSE,"3다"}</definedName>
    <definedName name="아" hidden="1">{#N/A,#N/A,FALSE,"ALM-ASISC"}</definedName>
    <definedName name="아ㅓㄹ" hidden="1">{#N/A,#N/A,FALSE,"ALM-ASISC"}</definedName>
    <definedName name="아ㅓㄹ지" hidden="1">{#N/A,#N/A,FALSE,"ALM-ASISC"}</definedName>
    <definedName name="아ㅓㅈ" hidden="1">{#N/A,#N/A,FALSE,"ALM-ASISC"}</definedName>
    <definedName name="아ㅓㅗㄹ" hidden="1">{#N/A,#N/A,FALSE,"ALM-ASISC"}</definedName>
    <definedName name="아ㅣㅈ" hidden="1">{#N/A,#N/A,FALSE,"ALM-ASISC"}</definedName>
    <definedName name="아ㅣㅈㅂ" hidden="1">{#N/A,#N/A,FALSE,"ALM-ASISC"}</definedName>
    <definedName name="이름" hidden="1">#REF!</definedName>
    <definedName name="일일대가1" hidden="1">{#N/A,#N/A,FALSE,"3가";#N/A,#N/A,FALSE,"3나";#N/A,#N/A,FALSE,"3다"}</definedName>
    <definedName name="잊" hidden="1">{#N/A,#N/A,FALSE,"ALM-ASISC"}</definedName>
    <definedName name="ㅈ" hidden="1">{#N/A,#N/A,FALSE,"ALM-ASISC"}</definedName>
    <definedName name="ㅈㅂㄷㅈㅂㄷ" hidden="1">{#N/A,#N/A,FALSE,"ALM-ASISC"}</definedName>
    <definedName name="자" hidden="1">{#N/A,#N/A,FALSE,"ALM-ASISC"}</definedName>
    <definedName name="자ㅓㄷ" hidden="1">{#N/A,#N/A,FALSE,"ALM-ASISC"}</definedName>
    <definedName name="정" hidden="1">{#N/A,#N/A,FALSE,"ALM-ASISC"}</definedName>
    <definedName name="제주추가종합수정안" hidden="1">{#N/A,#N/A,FALSE,"3가";#N/A,#N/A,FALSE,"3나";#N/A,#N/A,FALSE,"3다"}</definedName>
    <definedName name="지더" hidden="1">{#N/A,#N/A,FALSE,"ALM-ASISC"}</definedName>
    <definedName name="지두" hidden="1">{#N/A,#N/A,FALSE,"ALM-ASISC"}</definedName>
    <definedName name="차" hidden="1">{#N/A,#N/A,FALSE,"ALM-ASISC"}</definedName>
    <definedName name="총괄11" hidden="1">{#N/A,#N/A,FALSE,"3가";#N/A,#N/A,FALSE,"3나";#N/A,#N/A,FALSE,"3다"}</definedName>
    <definedName name="카" hidden="1">{#N/A,#N/A,FALSE,"ALM-ASISC"}</definedName>
    <definedName name="타" hidden="1">{#N/A,#N/A,FALSE,"ALM-ASISC"}</definedName>
    <definedName name="통합검색" hidden="1">#REF!</definedName>
    <definedName name="특별시방서1" hidden="1">{#N/A,#N/A,FALSE,"ALM-ASISC"}</definedName>
    <definedName name="파" hidden="1">{#N/A,#N/A,FALSE,"ALM-ASISC"}</definedName>
    <definedName name="하" hidden="1">{#N/A,#N/A,FALSE,"ALM-ASISC"}</definedName>
    <definedName name="한" hidden="1">{#N/A,#N/A,FALSE,"3가";#N/A,#N/A,FALSE,"3나";#N/A,#N/A,FALSE,"3다"}</definedName>
    <definedName name="홎ㅅㄱ도" hidden="1">{#N/A,#N/A,FALSE,"ALM-ASISC"}</definedName>
    <definedName name="ㅏㄷ" hidden="1">{#N/A,#N/A,FALSE,"ALM-ASISC"}</definedName>
    <definedName name="ㅏ딪" hidden="1">{#N/A,#N/A,FALSE,"ALM-ASISC"}</definedName>
    <definedName name="ㅏㅇ" hidden="1">{#N/A,#N/A,FALSE,"ALM-ASISC"}</definedName>
    <definedName name="ㅏ잊" hidden="1">{#N/A,#N/A,FALSE,"ALM-ASISC"}</definedName>
    <definedName name="ㅏ짇" hidden="1">{#N/A,#N/A,FALSE,"ALM-ASISC"}</definedName>
    <definedName name="ㅏㅣㄴ" hidden="1">{#N/A,#N/A,FALSE,"ALM-ASISC"}</definedName>
    <definedName name="ㅏㅣㄷ" hidden="1">{#N/A,#N/A,FALSE,"ALM-ASISC"}</definedName>
    <definedName name="ㅓ아ㅣㄷ" hidden="1">{#N/A,#N/A,FALSE,"ALM-ASISC"}</definedName>
    <definedName name="ㅜ다" hidden="1">{#N/A,#N/A,FALSE,"ALM-ASISC"}</definedName>
    <definedName name="ㅜㅈ다" hidden="1">{#N/A,#N/A,FALSE,"ALM-ASISC"}</definedName>
    <definedName name="ㅜ자ㅣㅂ" hidden="1">{#N/A,#N/A,FALSE,"ALM-ASISC"}</definedName>
    <definedName name="ㅣ닺" hidden="1">{#N/A,#N/A,FALSE,"ALM-ASISC"}</definedName>
    <definedName name="ㅣㅇ" hidden="1">{#N/A,#N/A,FALSE,"ALM-ASISC"}</definedName>
    <definedName name="ㅣㅈ다" hidden="1">{#N/A,#N/A,FALSE,"ALM-ASISC"}</definedName>
    <definedName name="ㅣ잗" hidden="1">{#N/A,#N/A,FALSE,"ALM-ASISC"}</definedName>
    <definedName name="ㅣ젇" hidden="1">{#N/A,#N/A,FALSE,"ALM-ASISC"}</definedName>
  </definedNames>
  <calcPr calcId="191029"/>
</workbook>
</file>

<file path=xl/calcChain.xml><?xml version="1.0" encoding="utf-8"?>
<calcChain xmlns="http://schemas.openxmlformats.org/spreadsheetml/2006/main">
  <c r="N677" i="6" l="1"/>
  <c r="N676" i="6"/>
  <c r="N675" i="6"/>
  <c r="W665" i="6"/>
  <c r="V665" i="6"/>
  <c r="U665" i="6"/>
  <c r="T665" i="6"/>
  <c r="S665" i="6"/>
  <c r="R665" i="6"/>
  <c r="Q665" i="6"/>
  <c r="W664" i="6"/>
  <c r="V664" i="6"/>
  <c r="U664" i="6"/>
  <c r="T664" i="6"/>
  <c r="S664" i="6"/>
  <c r="R664" i="6"/>
  <c r="Q664" i="6"/>
  <c r="W663" i="6"/>
  <c r="V663" i="6"/>
  <c r="U663" i="6"/>
  <c r="T663" i="6"/>
  <c r="S663" i="6"/>
  <c r="R663" i="6"/>
  <c r="Q663" i="6"/>
  <c r="W662" i="6"/>
  <c r="V662" i="6"/>
  <c r="U662" i="6"/>
  <c r="T662" i="6"/>
  <c r="S662" i="6"/>
  <c r="R662" i="6"/>
  <c r="Q662" i="6"/>
  <c r="W658" i="6"/>
  <c r="V658" i="6"/>
  <c r="U658" i="6"/>
  <c r="T658" i="6"/>
  <c r="R658" i="6"/>
  <c r="Q658" i="6"/>
  <c r="W657" i="6"/>
  <c r="V657" i="6"/>
  <c r="U657" i="6"/>
  <c r="T657" i="6"/>
  <c r="R657" i="6"/>
  <c r="Q657" i="6"/>
  <c r="W656" i="6"/>
  <c r="V656" i="6"/>
  <c r="U656" i="6"/>
  <c r="T656" i="6"/>
  <c r="R656" i="6"/>
  <c r="Q656" i="6"/>
  <c r="W655" i="6"/>
  <c r="V655" i="6"/>
  <c r="U655" i="6"/>
  <c r="T655" i="6"/>
  <c r="R655" i="6"/>
  <c r="Q655" i="6"/>
  <c r="W651" i="6"/>
  <c r="V651" i="6"/>
  <c r="U651" i="6"/>
  <c r="T651" i="6"/>
  <c r="S651" i="6"/>
  <c r="R651" i="6"/>
  <c r="Q651" i="6"/>
  <c r="W650" i="6"/>
  <c r="V650" i="6"/>
  <c r="U650" i="6"/>
  <c r="T650" i="6"/>
  <c r="S650" i="6"/>
  <c r="R650" i="6"/>
  <c r="Q650" i="6"/>
  <c r="W649" i="6"/>
  <c r="V649" i="6"/>
  <c r="U649" i="6"/>
  <c r="T649" i="6"/>
  <c r="S649" i="6"/>
  <c r="R649" i="6"/>
  <c r="Q649" i="6"/>
  <c r="W648" i="6"/>
  <c r="V648" i="6"/>
  <c r="U648" i="6"/>
  <c r="T648" i="6"/>
  <c r="S648" i="6"/>
  <c r="R648" i="6"/>
  <c r="Q648" i="6"/>
  <c r="W644" i="6"/>
  <c r="V644" i="6"/>
  <c r="U644" i="6"/>
  <c r="T644" i="6"/>
  <c r="R644" i="6"/>
  <c r="Q644" i="6"/>
  <c r="W640" i="6"/>
  <c r="V640" i="6"/>
  <c r="U640" i="6"/>
  <c r="T640" i="6"/>
  <c r="S640" i="6"/>
  <c r="R640" i="6"/>
  <c r="Q640" i="6"/>
  <c r="W639" i="6"/>
  <c r="V639" i="6"/>
  <c r="U639" i="6"/>
  <c r="T639" i="6"/>
  <c r="S639" i="6"/>
  <c r="R639" i="6"/>
  <c r="Q639" i="6"/>
  <c r="W638" i="6"/>
  <c r="V638" i="6"/>
  <c r="U638" i="6"/>
  <c r="T638" i="6"/>
  <c r="S638" i="6"/>
  <c r="R638" i="6"/>
  <c r="Q638" i="6"/>
  <c r="W637" i="6"/>
  <c r="V637" i="6"/>
  <c r="U637" i="6"/>
  <c r="T637" i="6"/>
  <c r="S637" i="6"/>
  <c r="R637" i="6"/>
  <c r="Q637" i="6"/>
  <c r="W633" i="6"/>
  <c r="V633" i="6"/>
  <c r="U633" i="6"/>
  <c r="T633" i="6"/>
  <c r="S633" i="6"/>
  <c r="R633" i="6"/>
  <c r="Q633" i="6"/>
  <c r="W632" i="6"/>
  <c r="V632" i="6"/>
  <c r="U632" i="6"/>
  <c r="T632" i="6"/>
  <c r="S632" i="6"/>
  <c r="R632" i="6"/>
  <c r="Q632" i="6"/>
  <c r="W631" i="6"/>
  <c r="V631" i="6"/>
  <c r="U631" i="6"/>
  <c r="T631" i="6"/>
  <c r="S631" i="6"/>
  <c r="R631" i="6"/>
  <c r="Q631" i="6"/>
  <c r="W630" i="6"/>
  <c r="V630" i="6"/>
  <c r="U630" i="6"/>
  <c r="T630" i="6"/>
  <c r="S630" i="6"/>
  <c r="R630" i="6"/>
  <c r="Q630" i="6"/>
  <c r="W626" i="6"/>
  <c r="V626" i="6"/>
  <c r="U626" i="6"/>
  <c r="T626" i="6"/>
  <c r="S626" i="6"/>
  <c r="R626" i="6"/>
  <c r="Q626" i="6"/>
  <c r="W625" i="6"/>
  <c r="V625" i="6"/>
  <c r="U625" i="6"/>
  <c r="T625" i="6"/>
  <c r="S625" i="6"/>
  <c r="R625" i="6"/>
  <c r="Q625" i="6"/>
  <c r="W624" i="6"/>
  <c r="V624" i="6"/>
  <c r="U624" i="6"/>
  <c r="T624" i="6"/>
  <c r="S624" i="6"/>
  <c r="R624" i="6"/>
  <c r="Q624" i="6"/>
  <c r="W623" i="6"/>
  <c r="V623" i="6"/>
  <c r="U623" i="6"/>
  <c r="T623" i="6"/>
  <c r="S623" i="6"/>
  <c r="R623" i="6"/>
  <c r="Q623" i="6"/>
  <c r="W622" i="6"/>
  <c r="V622" i="6"/>
  <c r="U622" i="6"/>
  <c r="T622" i="6"/>
  <c r="S622" i="6"/>
  <c r="R622" i="6"/>
  <c r="Q622" i="6"/>
  <c r="W621" i="6"/>
  <c r="V621" i="6"/>
  <c r="U621" i="6"/>
  <c r="T621" i="6"/>
  <c r="S621" i="6"/>
  <c r="R621" i="6"/>
  <c r="Q621" i="6"/>
  <c r="W620" i="6"/>
  <c r="V620" i="6"/>
  <c r="U620" i="6"/>
  <c r="T620" i="6"/>
  <c r="S620" i="6"/>
  <c r="R620" i="6"/>
  <c r="Q620" i="6"/>
  <c r="W619" i="6"/>
  <c r="V619" i="6"/>
  <c r="U619" i="6"/>
  <c r="T619" i="6"/>
  <c r="S619" i="6"/>
  <c r="R619" i="6"/>
  <c r="Q619" i="6"/>
  <c r="W618" i="6"/>
  <c r="V618" i="6"/>
  <c r="U618" i="6"/>
  <c r="T618" i="6"/>
  <c r="S618" i="6"/>
  <c r="R618" i="6"/>
  <c r="Q618" i="6"/>
  <c r="W617" i="6"/>
  <c r="V617" i="6"/>
  <c r="U617" i="6"/>
  <c r="T617" i="6"/>
  <c r="S617" i="6"/>
  <c r="R617" i="6"/>
  <c r="Q617" i="6"/>
  <c r="W616" i="6"/>
  <c r="V616" i="6"/>
  <c r="U616" i="6"/>
  <c r="T616" i="6"/>
  <c r="S616" i="6"/>
  <c r="R616" i="6"/>
  <c r="Q616" i="6"/>
  <c r="W615" i="6"/>
  <c r="V615" i="6"/>
  <c r="U615" i="6"/>
  <c r="T615" i="6"/>
  <c r="S615" i="6"/>
  <c r="R615" i="6"/>
  <c r="Q615" i="6"/>
  <c r="W614" i="6"/>
  <c r="V614" i="6"/>
  <c r="U614" i="6"/>
  <c r="T614" i="6"/>
  <c r="S614" i="6"/>
  <c r="R614" i="6"/>
  <c r="Q614" i="6"/>
  <c r="W613" i="6"/>
  <c r="V613" i="6"/>
  <c r="U613" i="6"/>
  <c r="T613" i="6"/>
  <c r="S613" i="6"/>
  <c r="R613" i="6"/>
  <c r="Q613" i="6"/>
  <c r="W612" i="6"/>
  <c r="V612" i="6"/>
  <c r="U612" i="6"/>
  <c r="T612" i="6"/>
  <c r="S612" i="6"/>
  <c r="R612" i="6"/>
  <c r="Q612" i="6"/>
  <c r="W611" i="6"/>
  <c r="V611" i="6"/>
  <c r="U611" i="6"/>
  <c r="T611" i="6"/>
  <c r="S611" i="6"/>
  <c r="R611" i="6"/>
  <c r="Q611" i="6"/>
  <c r="W610" i="6"/>
  <c r="V610" i="6"/>
  <c r="U610" i="6"/>
  <c r="T610" i="6"/>
  <c r="S610" i="6"/>
  <c r="R610" i="6"/>
  <c r="Q610" i="6"/>
  <c r="W609" i="6"/>
  <c r="V609" i="6"/>
  <c r="U609" i="6"/>
  <c r="T609" i="6"/>
  <c r="S609" i="6"/>
  <c r="R609" i="6"/>
  <c r="Q609" i="6"/>
  <c r="W608" i="6"/>
  <c r="V608" i="6"/>
  <c r="U608" i="6"/>
  <c r="T608" i="6"/>
  <c r="S608" i="6"/>
  <c r="R608" i="6"/>
  <c r="Q608" i="6"/>
  <c r="W607" i="6"/>
  <c r="V607" i="6"/>
  <c r="U607" i="6"/>
  <c r="T607" i="6"/>
  <c r="S607" i="6"/>
  <c r="R607" i="6"/>
  <c r="Q607" i="6"/>
  <c r="W606" i="6"/>
  <c r="V606" i="6"/>
  <c r="U606" i="6"/>
  <c r="T606" i="6"/>
  <c r="S606" i="6"/>
  <c r="R606" i="6"/>
  <c r="Q606" i="6"/>
  <c r="W605" i="6"/>
  <c r="V605" i="6"/>
  <c r="U605" i="6"/>
  <c r="T605" i="6"/>
  <c r="S605" i="6"/>
  <c r="R605" i="6"/>
  <c r="Q605" i="6"/>
  <c r="W604" i="6"/>
  <c r="V604" i="6"/>
  <c r="U604" i="6"/>
  <c r="T604" i="6"/>
  <c r="S604" i="6"/>
  <c r="R604" i="6"/>
  <c r="Q604" i="6"/>
  <c r="W603" i="6"/>
  <c r="V603" i="6"/>
  <c r="U603" i="6"/>
  <c r="T603" i="6"/>
  <c r="S603" i="6"/>
  <c r="R603" i="6"/>
  <c r="Q603" i="6"/>
  <c r="W602" i="6"/>
  <c r="V602" i="6"/>
  <c r="U602" i="6"/>
  <c r="T602" i="6"/>
  <c r="S602" i="6"/>
  <c r="R602" i="6"/>
  <c r="Q602" i="6"/>
  <c r="W601" i="6"/>
  <c r="V601" i="6"/>
  <c r="U601" i="6"/>
  <c r="T601" i="6"/>
  <c r="S601" i="6"/>
  <c r="R601" i="6"/>
  <c r="Q601" i="6"/>
  <c r="W600" i="6"/>
  <c r="V600" i="6"/>
  <c r="U600" i="6"/>
  <c r="T600" i="6"/>
  <c r="S600" i="6"/>
  <c r="R600" i="6"/>
  <c r="Q600" i="6"/>
  <c r="W599" i="6"/>
  <c r="V599" i="6"/>
  <c r="U599" i="6"/>
  <c r="T599" i="6"/>
  <c r="S599" i="6"/>
  <c r="R599" i="6"/>
  <c r="Q599" i="6"/>
  <c r="W598" i="6"/>
  <c r="V598" i="6"/>
  <c r="U598" i="6"/>
  <c r="T598" i="6"/>
  <c r="S598" i="6"/>
  <c r="R598" i="6"/>
  <c r="Q598" i="6"/>
  <c r="W597" i="6"/>
  <c r="V597" i="6"/>
  <c r="U597" i="6"/>
  <c r="T597" i="6"/>
  <c r="S597" i="6"/>
  <c r="R597" i="6"/>
  <c r="Q597" i="6"/>
  <c r="W596" i="6"/>
  <c r="V596" i="6"/>
  <c r="U596" i="6"/>
  <c r="T596" i="6"/>
  <c r="S596" i="6"/>
  <c r="R596" i="6"/>
  <c r="Q596" i="6"/>
  <c r="W595" i="6"/>
  <c r="V595" i="6"/>
  <c r="U595" i="6"/>
  <c r="T595" i="6"/>
  <c r="S595" i="6"/>
  <c r="R595" i="6"/>
  <c r="Q595" i="6"/>
  <c r="W591" i="6"/>
  <c r="V591" i="6"/>
  <c r="U591" i="6"/>
  <c r="T591" i="6"/>
  <c r="R591" i="6"/>
  <c r="Q591" i="6"/>
  <c r="W590" i="6"/>
  <c r="V590" i="6"/>
  <c r="U590" i="6"/>
  <c r="T590" i="6"/>
  <c r="R590" i="6"/>
  <c r="Q590" i="6"/>
  <c r="W589" i="6"/>
  <c r="V589" i="6"/>
  <c r="U589" i="6"/>
  <c r="T589" i="6"/>
  <c r="R589" i="6"/>
  <c r="Q589" i="6"/>
  <c r="W588" i="6"/>
  <c r="V588" i="6"/>
  <c r="U588" i="6"/>
  <c r="T588" i="6"/>
  <c r="R588" i="6"/>
  <c r="Q588" i="6"/>
  <c r="W587" i="6"/>
  <c r="V587" i="6"/>
  <c r="U587" i="6"/>
  <c r="T587" i="6"/>
  <c r="R587" i="6"/>
  <c r="Q587" i="6"/>
  <c r="W586" i="6"/>
  <c r="V586" i="6"/>
  <c r="U586" i="6"/>
  <c r="T586" i="6"/>
  <c r="R586" i="6"/>
  <c r="Q586" i="6"/>
  <c r="W585" i="6"/>
  <c r="V585" i="6"/>
  <c r="U585" i="6"/>
  <c r="T585" i="6"/>
  <c r="R585" i="6"/>
  <c r="Q585" i="6"/>
  <c r="W584" i="6"/>
  <c r="V584" i="6"/>
  <c r="U584" i="6"/>
  <c r="T584" i="6"/>
  <c r="R584" i="6"/>
  <c r="Q584" i="6"/>
  <c r="W580" i="6"/>
  <c r="V580" i="6"/>
  <c r="U580" i="6"/>
  <c r="T580" i="6"/>
  <c r="S580" i="6"/>
  <c r="R580" i="6"/>
  <c r="Q580" i="6"/>
  <c r="W579" i="6"/>
  <c r="V579" i="6"/>
  <c r="U579" i="6"/>
  <c r="T579" i="6"/>
  <c r="S579" i="6"/>
  <c r="R579" i="6"/>
  <c r="Q579" i="6"/>
  <c r="W578" i="6"/>
  <c r="V578" i="6"/>
  <c r="U578" i="6"/>
  <c r="T578" i="6"/>
  <c r="S578" i="6"/>
  <c r="R578" i="6"/>
  <c r="Q578" i="6"/>
  <c r="W577" i="6"/>
  <c r="V577" i="6"/>
  <c r="U577" i="6"/>
  <c r="T577" i="6"/>
  <c r="S577" i="6"/>
  <c r="R577" i="6"/>
  <c r="Q577" i="6"/>
  <c r="W576" i="6"/>
  <c r="V576" i="6"/>
  <c r="U576" i="6"/>
  <c r="T576" i="6"/>
  <c r="S576" i="6"/>
  <c r="R576" i="6"/>
  <c r="Q576" i="6"/>
  <c r="W575" i="6"/>
  <c r="V575" i="6"/>
  <c r="U575" i="6"/>
  <c r="T575" i="6"/>
  <c r="S575" i="6"/>
  <c r="R575" i="6"/>
  <c r="Q575" i="6"/>
  <c r="W574" i="6"/>
  <c r="V574" i="6"/>
  <c r="U574" i="6"/>
  <c r="T574" i="6"/>
  <c r="S574" i="6"/>
  <c r="R574" i="6"/>
  <c r="Q574" i="6"/>
  <c r="W573" i="6"/>
  <c r="V573" i="6"/>
  <c r="U573" i="6"/>
  <c r="T573" i="6"/>
  <c r="S573" i="6"/>
  <c r="R573" i="6"/>
  <c r="Q573" i="6"/>
  <c r="W572" i="6"/>
  <c r="V572" i="6"/>
  <c r="U572" i="6"/>
  <c r="T572" i="6"/>
  <c r="S572" i="6"/>
  <c r="R572" i="6"/>
  <c r="Q572" i="6"/>
  <c r="W571" i="6"/>
  <c r="V571" i="6"/>
  <c r="U571" i="6"/>
  <c r="T571" i="6"/>
  <c r="S571" i="6"/>
  <c r="R571" i="6"/>
  <c r="Q571" i="6"/>
  <c r="W570" i="6"/>
  <c r="V570" i="6"/>
  <c r="U570" i="6"/>
  <c r="T570" i="6"/>
  <c r="S570" i="6"/>
  <c r="R570" i="6"/>
  <c r="Q570" i="6"/>
  <c r="W569" i="6"/>
  <c r="V569" i="6"/>
  <c r="U569" i="6"/>
  <c r="T569" i="6"/>
  <c r="S569" i="6"/>
  <c r="R569" i="6"/>
  <c r="Q569" i="6"/>
  <c r="W568" i="6"/>
  <c r="V568" i="6"/>
  <c r="U568" i="6"/>
  <c r="T568" i="6"/>
  <c r="S568" i="6"/>
  <c r="R568" i="6"/>
  <c r="Q568" i="6"/>
  <c r="W567" i="6"/>
  <c r="V567" i="6"/>
  <c r="U567" i="6"/>
  <c r="T567" i="6"/>
  <c r="S567" i="6"/>
  <c r="R567" i="6"/>
  <c r="Q567" i="6"/>
  <c r="W566" i="6"/>
  <c r="V566" i="6"/>
  <c r="U566" i="6"/>
  <c r="T566" i="6"/>
  <c r="S566" i="6"/>
  <c r="R566" i="6"/>
  <c r="Q566" i="6"/>
  <c r="W565" i="6"/>
  <c r="V565" i="6"/>
  <c r="U565" i="6"/>
  <c r="T565" i="6"/>
  <c r="S565" i="6"/>
  <c r="R565" i="6"/>
  <c r="Q565" i="6"/>
  <c r="W564" i="6"/>
  <c r="V564" i="6"/>
  <c r="U564" i="6"/>
  <c r="T564" i="6"/>
  <c r="S564" i="6"/>
  <c r="R564" i="6"/>
  <c r="Q564" i="6"/>
  <c r="W563" i="6"/>
  <c r="V563" i="6"/>
  <c r="U563" i="6"/>
  <c r="T563" i="6"/>
  <c r="S563" i="6"/>
  <c r="R563" i="6"/>
  <c r="Q563" i="6"/>
  <c r="W562" i="6"/>
  <c r="V562" i="6"/>
  <c r="U562" i="6"/>
  <c r="T562" i="6"/>
  <c r="S562" i="6"/>
  <c r="R562" i="6"/>
  <c r="Q562" i="6"/>
  <c r="W561" i="6"/>
  <c r="V561" i="6"/>
  <c r="U561" i="6"/>
  <c r="T561" i="6"/>
  <c r="S561" i="6"/>
  <c r="R561" i="6"/>
  <c r="Q561" i="6"/>
  <c r="W560" i="6"/>
  <c r="V560" i="6"/>
  <c r="U560" i="6"/>
  <c r="T560" i="6"/>
  <c r="S560" i="6"/>
  <c r="R560" i="6"/>
  <c r="Q560" i="6"/>
  <c r="W559" i="6"/>
  <c r="V559" i="6"/>
  <c r="U559" i="6"/>
  <c r="T559" i="6"/>
  <c r="S559" i="6"/>
  <c r="R559" i="6"/>
  <c r="Q559" i="6"/>
  <c r="W558" i="6"/>
  <c r="V558" i="6"/>
  <c r="U558" i="6"/>
  <c r="T558" i="6"/>
  <c r="S558" i="6"/>
  <c r="R558" i="6"/>
  <c r="Q558" i="6"/>
  <c r="W557" i="6"/>
  <c r="V557" i="6"/>
  <c r="U557" i="6"/>
  <c r="T557" i="6"/>
  <c r="S557" i="6"/>
  <c r="R557" i="6"/>
  <c r="Q557" i="6"/>
  <c r="W556" i="6"/>
  <c r="V556" i="6"/>
  <c r="U556" i="6"/>
  <c r="T556" i="6"/>
  <c r="S556" i="6"/>
  <c r="R556" i="6"/>
  <c r="Q556" i="6"/>
  <c r="W555" i="6"/>
  <c r="V555" i="6"/>
  <c r="U555" i="6"/>
  <c r="T555" i="6"/>
  <c r="S555" i="6"/>
  <c r="R555" i="6"/>
  <c r="Q555" i="6"/>
  <c r="W554" i="6"/>
  <c r="V554" i="6"/>
  <c r="U554" i="6"/>
  <c r="T554" i="6"/>
  <c r="S554" i="6"/>
  <c r="R554" i="6"/>
  <c r="Q554" i="6"/>
  <c r="W553" i="6"/>
  <c r="V553" i="6"/>
  <c r="U553" i="6"/>
  <c r="T553" i="6"/>
  <c r="S553" i="6"/>
  <c r="R553" i="6"/>
  <c r="Q553" i="6"/>
  <c r="W552" i="6"/>
  <c r="V552" i="6"/>
  <c r="U552" i="6"/>
  <c r="T552" i="6"/>
  <c r="S552" i="6"/>
  <c r="R552" i="6"/>
  <c r="Q552" i="6"/>
  <c r="W551" i="6"/>
  <c r="V551" i="6"/>
  <c r="U551" i="6"/>
  <c r="T551" i="6"/>
  <c r="S551" i="6"/>
  <c r="R551" i="6"/>
  <c r="Q551" i="6"/>
  <c r="W550" i="6"/>
  <c r="V550" i="6"/>
  <c r="U550" i="6"/>
  <c r="T550" i="6"/>
  <c r="S550" i="6"/>
  <c r="R550" i="6"/>
  <c r="Q550" i="6"/>
  <c r="W549" i="6"/>
  <c r="V549" i="6"/>
  <c r="U549" i="6"/>
  <c r="T549" i="6"/>
  <c r="S549" i="6"/>
  <c r="R549" i="6"/>
  <c r="Q549" i="6"/>
  <c r="W548" i="6"/>
  <c r="V548" i="6"/>
  <c r="U548" i="6"/>
  <c r="T548" i="6"/>
  <c r="S548" i="6"/>
  <c r="R548" i="6"/>
  <c r="Q548" i="6"/>
  <c r="W547" i="6"/>
  <c r="V547" i="6"/>
  <c r="U547" i="6"/>
  <c r="T547" i="6"/>
  <c r="S547" i="6"/>
  <c r="R547" i="6"/>
  <c r="Q547" i="6"/>
  <c r="W546" i="6"/>
  <c r="V546" i="6"/>
  <c r="U546" i="6"/>
  <c r="T546" i="6"/>
  <c r="S546" i="6"/>
  <c r="R546" i="6"/>
  <c r="Q546" i="6"/>
  <c r="W545" i="6"/>
  <c r="V545" i="6"/>
  <c r="U545" i="6"/>
  <c r="T545" i="6"/>
  <c r="S545" i="6"/>
  <c r="R545" i="6"/>
  <c r="Q545" i="6"/>
  <c r="W541" i="6"/>
  <c r="V541" i="6"/>
  <c r="U541" i="6"/>
  <c r="T541" i="6"/>
  <c r="S541" i="6"/>
  <c r="R541" i="6"/>
  <c r="Q541" i="6"/>
  <c r="W537" i="6"/>
  <c r="V537" i="6"/>
  <c r="U537" i="6"/>
  <c r="T537" i="6"/>
  <c r="S537" i="6"/>
  <c r="R537" i="6"/>
  <c r="Q537" i="6"/>
  <c r="W536" i="6"/>
  <c r="V536" i="6"/>
  <c r="U536" i="6"/>
  <c r="T536" i="6"/>
  <c r="S536" i="6"/>
  <c r="R536" i="6"/>
  <c r="Q536" i="6"/>
  <c r="W535" i="6"/>
  <c r="V535" i="6"/>
  <c r="U535" i="6"/>
  <c r="T535" i="6"/>
  <c r="S535" i="6"/>
  <c r="R535" i="6"/>
  <c r="Q535" i="6"/>
  <c r="W534" i="6"/>
  <c r="V534" i="6"/>
  <c r="U534" i="6"/>
  <c r="T534" i="6"/>
  <c r="S534" i="6"/>
  <c r="R534" i="6"/>
  <c r="Q534" i="6"/>
  <c r="W530" i="6"/>
  <c r="V530" i="6"/>
  <c r="U530" i="6"/>
  <c r="T530" i="6"/>
  <c r="S530" i="6"/>
  <c r="R530" i="6"/>
  <c r="Q530" i="6"/>
  <c r="W529" i="6"/>
  <c r="V529" i="6"/>
  <c r="U529" i="6"/>
  <c r="T529" i="6"/>
  <c r="S529" i="6"/>
  <c r="R529" i="6"/>
  <c r="Q529" i="6"/>
  <c r="W525" i="6"/>
  <c r="V525" i="6"/>
  <c r="U525" i="6"/>
  <c r="T525" i="6"/>
  <c r="R525" i="6"/>
  <c r="Q525" i="6"/>
  <c r="W524" i="6"/>
  <c r="V524" i="6"/>
  <c r="U524" i="6"/>
  <c r="T524" i="6"/>
  <c r="R524" i="6"/>
  <c r="Q524" i="6"/>
  <c r="W523" i="6"/>
  <c r="V523" i="6"/>
  <c r="U523" i="6"/>
  <c r="T523" i="6"/>
  <c r="R523" i="6"/>
  <c r="Q523" i="6"/>
  <c r="W522" i="6"/>
  <c r="V522" i="6"/>
  <c r="U522" i="6"/>
  <c r="T522" i="6"/>
  <c r="R522" i="6"/>
  <c r="Q522" i="6"/>
  <c r="W518" i="6"/>
  <c r="V518" i="6"/>
  <c r="U518" i="6"/>
  <c r="T518" i="6"/>
  <c r="R518" i="6"/>
  <c r="Q518" i="6"/>
  <c r="W514" i="6"/>
  <c r="V514" i="6"/>
  <c r="U514" i="6"/>
  <c r="T514" i="6"/>
  <c r="S514" i="6"/>
  <c r="R514" i="6"/>
  <c r="Q514" i="6"/>
  <c r="W513" i="6"/>
  <c r="V513" i="6"/>
  <c r="U513" i="6"/>
  <c r="T513" i="6"/>
  <c r="S513" i="6"/>
  <c r="R513" i="6"/>
  <c r="Q513" i="6"/>
  <c r="W512" i="6"/>
  <c r="V512" i="6"/>
  <c r="U512" i="6"/>
  <c r="T512" i="6"/>
  <c r="S512" i="6"/>
  <c r="R512" i="6"/>
  <c r="Q512" i="6"/>
  <c r="W511" i="6"/>
  <c r="V511" i="6"/>
  <c r="U511" i="6"/>
  <c r="T511" i="6"/>
  <c r="S511" i="6"/>
  <c r="R511" i="6"/>
  <c r="Q511" i="6"/>
  <c r="W507" i="6"/>
  <c r="V507" i="6"/>
  <c r="U507" i="6"/>
  <c r="T507" i="6"/>
  <c r="R507" i="6"/>
  <c r="Q507" i="6"/>
  <c r="W506" i="6"/>
  <c r="V506" i="6"/>
  <c r="U506" i="6"/>
  <c r="T506" i="6"/>
  <c r="R506" i="6"/>
  <c r="Q506" i="6"/>
  <c r="W505" i="6"/>
  <c r="V505" i="6"/>
  <c r="U505" i="6"/>
  <c r="T505" i="6"/>
  <c r="R505" i="6"/>
  <c r="Q505" i="6"/>
  <c r="W504" i="6"/>
  <c r="V504" i="6"/>
  <c r="U504" i="6"/>
  <c r="T504" i="6"/>
  <c r="R504" i="6"/>
  <c r="Q504" i="6"/>
  <c r="W503" i="6"/>
  <c r="V503" i="6"/>
  <c r="U503" i="6"/>
  <c r="T503" i="6"/>
  <c r="R503" i="6"/>
  <c r="Q503" i="6"/>
  <c r="W499" i="6"/>
  <c r="V499" i="6"/>
  <c r="U499" i="6"/>
  <c r="T499" i="6"/>
  <c r="R499" i="6"/>
  <c r="Q499" i="6"/>
  <c r="W495" i="6"/>
  <c r="V495" i="6"/>
  <c r="U495" i="6"/>
  <c r="T495" i="6"/>
  <c r="S495" i="6"/>
  <c r="R495" i="6"/>
  <c r="Q495" i="6"/>
  <c r="W494" i="6"/>
  <c r="V494" i="6"/>
  <c r="U494" i="6"/>
  <c r="T494" i="6"/>
  <c r="S494" i="6"/>
  <c r="R494" i="6"/>
  <c r="Q494" i="6"/>
  <c r="W493" i="6"/>
  <c r="V493" i="6"/>
  <c r="U493" i="6"/>
  <c r="T493" i="6"/>
  <c r="S493" i="6"/>
  <c r="R493" i="6"/>
  <c r="Q493" i="6"/>
  <c r="W489" i="6"/>
  <c r="V489" i="6"/>
  <c r="U489" i="6"/>
  <c r="T489" i="6"/>
  <c r="R489" i="6"/>
  <c r="Q489" i="6"/>
  <c r="W488" i="6"/>
  <c r="V488" i="6"/>
  <c r="U488" i="6"/>
  <c r="T488" i="6"/>
  <c r="R488" i="6"/>
  <c r="Q488" i="6"/>
  <c r="W487" i="6"/>
  <c r="V487" i="6"/>
  <c r="U487" i="6"/>
  <c r="T487" i="6"/>
  <c r="R487" i="6"/>
  <c r="Q487" i="6"/>
  <c r="W486" i="6"/>
  <c r="V486" i="6"/>
  <c r="U486" i="6"/>
  <c r="T486" i="6"/>
  <c r="R486" i="6"/>
  <c r="Q486" i="6"/>
  <c r="W482" i="6"/>
  <c r="V482" i="6"/>
  <c r="U482" i="6"/>
  <c r="T482" i="6"/>
  <c r="S482" i="6"/>
  <c r="R482" i="6"/>
  <c r="Q482" i="6"/>
  <c r="W481" i="6"/>
  <c r="V481" i="6"/>
  <c r="U481" i="6"/>
  <c r="T481" i="6"/>
  <c r="S481" i="6"/>
  <c r="R481" i="6"/>
  <c r="Q481" i="6"/>
  <c r="W480" i="6"/>
  <c r="V480" i="6"/>
  <c r="U480" i="6"/>
  <c r="T480" i="6"/>
  <c r="S480" i="6"/>
  <c r="R480" i="6"/>
  <c r="Q480" i="6"/>
  <c r="W479" i="6"/>
  <c r="V479" i="6"/>
  <c r="U479" i="6"/>
  <c r="T479" i="6"/>
  <c r="S479" i="6"/>
  <c r="R479" i="6"/>
  <c r="Q479" i="6"/>
  <c r="W478" i="6"/>
  <c r="V478" i="6"/>
  <c r="U478" i="6"/>
  <c r="T478" i="6"/>
  <c r="S478" i="6"/>
  <c r="R478" i="6"/>
  <c r="Q478" i="6"/>
  <c r="W477" i="6"/>
  <c r="V477" i="6"/>
  <c r="U477" i="6"/>
  <c r="T477" i="6"/>
  <c r="S477" i="6"/>
  <c r="R477" i="6"/>
  <c r="Q477" i="6"/>
  <c r="W473" i="6"/>
  <c r="V473" i="6"/>
  <c r="U473" i="6"/>
  <c r="T473" i="6"/>
  <c r="S473" i="6"/>
  <c r="R473" i="6"/>
  <c r="Q473" i="6"/>
  <c r="W472" i="6"/>
  <c r="V472" i="6"/>
  <c r="U472" i="6"/>
  <c r="T472" i="6"/>
  <c r="S472" i="6"/>
  <c r="R472" i="6"/>
  <c r="Q472" i="6"/>
  <c r="W471" i="6"/>
  <c r="V471" i="6"/>
  <c r="U471" i="6"/>
  <c r="T471" i="6"/>
  <c r="S471" i="6"/>
  <c r="R471" i="6"/>
  <c r="Q471" i="6"/>
  <c r="W470" i="6"/>
  <c r="V470" i="6"/>
  <c r="U470" i="6"/>
  <c r="T470" i="6"/>
  <c r="S470" i="6"/>
  <c r="R470" i="6"/>
  <c r="Q470" i="6"/>
  <c r="W469" i="6"/>
  <c r="V469" i="6"/>
  <c r="U469" i="6"/>
  <c r="T469" i="6"/>
  <c r="S469" i="6"/>
  <c r="R469" i="6"/>
  <c r="Q469" i="6"/>
  <c r="W468" i="6"/>
  <c r="V468" i="6"/>
  <c r="U468" i="6"/>
  <c r="T468" i="6"/>
  <c r="S468" i="6"/>
  <c r="R468" i="6"/>
  <c r="Q468" i="6"/>
  <c r="W467" i="6"/>
  <c r="V467" i="6"/>
  <c r="U467" i="6"/>
  <c r="T467" i="6"/>
  <c r="S467" i="6"/>
  <c r="R467" i="6"/>
  <c r="Q467" i="6"/>
  <c r="W466" i="6"/>
  <c r="V466" i="6"/>
  <c r="U466" i="6"/>
  <c r="T466" i="6"/>
  <c r="S466" i="6"/>
  <c r="R466" i="6"/>
  <c r="Q466" i="6"/>
  <c r="W465" i="6"/>
  <c r="V465" i="6"/>
  <c r="U465" i="6"/>
  <c r="T465" i="6"/>
  <c r="S465" i="6"/>
  <c r="R465" i="6"/>
  <c r="Q465" i="6"/>
  <c r="W464" i="6"/>
  <c r="V464" i="6"/>
  <c r="U464" i="6"/>
  <c r="T464" i="6"/>
  <c r="S464" i="6"/>
  <c r="R464" i="6"/>
  <c r="Q464" i="6"/>
  <c r="W463" i="6"/>
  <c r="V463" i="6"/>
  <c r="U463" i="6"/>
  <c r="T463" i="6"/>
  <c r="S463" i="6"/>
  <c r="R463" i="6"/>
  <c r="Q463" i="6"/>
  <c r="W462" i="6"/>
  <c r="V462" i="6"/>
  <c r="U462" i="6"/>
  <c r="T462" i="6"/>
  <c r="S462" i="6"/>
  <c r="R462" i="6"/>
  <c r="Q462" i="6"/>
  <c r="W461" i="6"/>
  <c r="V461" i="6"/>
  <c r="U461" i="6"/>
  <c r="T461" i="6"/>
  <c r="S461" i="6"/>
  <c r="R461" i="6"/>
  <c r="Q461" i="6"/>
  <c r="W460" i="6"/>
  <c r="V460" i="6"/>
  <c r="U460" i="6"/>
  <c r="T460" i="6"/>
  <c r="S460" i="6"/>
  <c r="R460" i="6"/>
  <c r="Q460" i="6"/>
  <c r="W459" i="6"/>
  <c r="V459" i="6"/>
  <c r="U459" i="6"/>
  <c r="T459" i="6"/>
  <c r="S459" i="6"/>
  <c r="R459" i="6"/>
  <c r="Q459" i="6"/>
  <c r="W458" i="6"/>
  <c r="V458" i="6"/>
  <c r="U458" i="6"/>
  <c r="T458" i="6"/>
  <c r="S458" i="6"/>
  <c r="R458" i="6"/>
  <c r="Q458" i="6"/>
  <c r="W457" i="6"/>
  <c r="V457" i="6"/>
  <c r="U457" i="6"/>
  <c r="T457" i="6"/>
  <c r="S457" i="6"/>
  <c r="R457" i="6"/>
  <c r="Q457" i="6"/>
  <c r="W456" i="6"/>
  <c r="V456" i="6"/>
  <c r="U456" i="6"/>
  <c r="T456" i="6"/>
  <c r="S456" i="6"/>
  <c r="R456" i="6"/>
  <c r="Q456" i="6"/>
  <c r="W452" i="6"/>
  <c r="V452" i="6"/>
  <c r="U452" i="6"/>
  <c r="T452" i="6"/>
  <c r="S452" i="6"/>
  <c r="R452" i="6"/>
  <c r="Q452" i="6"/>
  <c r="W448" i="6"/>
  <c r="V448" i="6"/>
  <c r="U448" i="6"/>
  <c r="T448" i="6"/>
  <c r="R448" i="6"/>
  <c r="Q448" i="6"/>
  <c r="W447" i="6"/>
  <c r="V447" i="6"/>
  <c r="U447" i="6"/>
  <c r="T447" i="6"/>
  <c r="S447" i="6"/>
  <c r="R447" i="6"/>
  <c r="Q447" i="6"/>
  <c r="W446" i="6"/>
  <c r="V446" i="6"/>
  <c r="U446" i="6"/>
  <c r="T446" i="6"/>
  <c r="R446" i="6"/>
  <c r="Q446" i="6"/>
  <c r="W445" i="6"/>
  <c r="V445" i="6"/>
  <c r="U445" i="6"/>
  <c r="T445" i="6"/>
  <c r="R445" i="6"/>
  <c r="Q445" i="6"/>
  <c r="W444" i="6"/>
  <c r="V444" i="6"/>
  <c r="U444" i="6"/>
  <c r="T444" i="6"/>
  <c r="R444" i="6"/>
  <c r="Q444" i="6"/>
  <c r="W443" i="6"/>
  <c r="V443" i="6"/>
  <c r="U443" i="6"/>
  <c r="T443" i="6"/>
  <c r="S443" i="6"/>
  <c r="R443" i="6"/>
  <c r="Q443" i="6"/>
  <c r="W442" i="6"/>
  <c r="V442" i="6"/>
  <c r="U442" i="6"/>
  <c r="T442" i="6"/>
  <c r="S442" i="6"/>
  <c r="R442" i="6"/>
  <c r="Q442" i="6"/>
  <c r="W441" i="6"/>
  <c r="V441" i="6"/>
  <c r="U441" i="6"/>
  <c r="T441" i="6"/>
  <c r="S441" i="6"/>
  <c r="R441" i="6"/>
  <c r="Q441" i="6"/>
  <c r="W437" i="6"/>
  <c r="V437" i="6"/>
  <c r="U437" i="6"/>
  <c r="T437" i="6"/>
  <c r="R437" i="6"/>
  <c r="Q437" i="6"/>
  <c r="W436" i="6"/>
  <c r="V436" i="6"/>
  <c r="U436" i="6"/>
  <c r="T436" i="6"/>
  <c r="R436" i="6"/>
  <c r="Q436" i="6"/>
  <c r="W435" i="6"/>
  <c r="V435" i="6"/>
  <c r="U435" i="6"/>
  <c r="T435" i="6"/>
  <c r="R435" i="6"/>
  <c r="Q435" i="6"/>
  <c r="W431" i="6"/>
  <c r="V431" i="6"/>
  <c r="U431" i="6"/>
  <c r="T431" i="6"/>
  <c r="R431" i="6"/>
  <c r="Q431" i="6"/>
  <c r="W430" i="6"/>
  <c r="V430" i="6"/>
  <c r="U430" i="6"/>
  <c r="T430" i="6"/>
  <c r="R430" i="6"/>
  <c r="Q430" i="6"/>
  <c r="W429" i="6"/>
  <c r="V429" i="6"/>
  <c r="U429" i="6"/>
  <c r="T429" i="6"/>
  <c r="R429" i="6"/>
  <c r="Q429" i="6"/>
  <c r="W425" i="6"/>
  <c r="V425" i="6"/>
  <c r="U425" i="6"/>
  <c r="T425" i="6"/>
  <c r="R425" i="6"/>
  <c r="Q425" i="6"/>
  <c r="W424" i="6"/>
  <c r="V424" i="6"/>
  <c r="U424" i="6"/>
  <c r="T424" i="6"/>
  <c r="R424" i="6"/>
  <c r="Q424" i="6"/>
  <c r="W423" i="6"/>
  <c r="V423" i="6"/>
  <c r="U423" i="6"/>
  <c r="T423" i="6"/>
  <c r="R423" i="6"/>
  <c r="Q423" i="6"/>
  <c r="W419" i="6"/>
  <c r="V419" i="6"/>
  <c r="U419" i="6"/>
  <c r="T419" i="6"/>
  <c r="S419" i="6"/>
  <c r="R419" i="6"/>
  <c r="Q419" i="6"/>
  <c r="W418" i="6"/>
  <c r="V418" i="6"/>
  <c r="U418" i="6"/>
  <c r="T418" i="6"/>
  <c r="S418" i="6"/>
  <c r="R418" i="6"/>
  <c r="Q418" i="6"/>
  <c r="W417" i="6"/>
  <c r="V417" i="6"/>
  <c r="U417" i="6"/>
  <c r="T417" i="6"/>
  <c r="S417" i="6"/>
  <c r="R417" i="6"/>
  <c r="Q417" i="6"/>
  <c r="W416" i="6"/>
  <c r="V416" i="6"/>
  <c r="U416" i="6"/>
  <c r="T416" i="6"/>
  <c r="R416" i="6"/>
  <c r="Q416" i="6"/>
  <c r="W415" i="6"/>
  <c r="V415" i="6"/>
  <c r="U415" i="6"/>
  <c r="T415" i="6"/>
  <c r="S415" i="6"/>
  <c r="R415" i="6"/>
  <c r="Q415" i="6"/>
  <c r="W414" i="6"/>
  <c r="V414" i="6"/>
  <c r="U414" i="6"/>
  <c r="T414" i="6"/>
  <c r="S414" i="6"/>
  <c r="R414" i="6"/>
  <c r="Q414" i="6"/>
  <c r="W410" i="6"/>
  <c r="V410" i="6"/>
  <c r="U410" i="6"/>
  <c r="T410" i="6"/>
  <c r="R410" i="6"/>
  <c r="Q410" i="6"/>
  <c r="W409" i="6"/>
  <c r="V409" i="6"/>
  <c r="U409" i="6"/>
  <c r="T409" i="6"/>
  <c r="R409" i="6"/>
  <c r="Q409" i="6"/>
  <c r="W408" i="6"/>
  <c r="V408" i="6"/>
  <c r="U408" i="6"/>
  <c r="T408" i="6"/>
  <c r="R408" i="6"/>
  <c r="Q408" i="6"/>
  <c r="W407" i="6"/>
  <c r="V407" i="6"/>
  <c r="U407" i="6"/>
  <c r="T407" i="6"/>
  <c r="S407" i="6"/>
  <c r="R407" i="6"/>
  <c r="Q407" i="6"/>
  <c r="W403" i="6"/>
  <c r="V403" i="6"/>
  <c r="U403" i="6"/>
  <c r="T403" i="6"/>
  <c r="S403" i="6"/>
  <c r="R403" i="6"/>
  <c r="Q403" i="6"/>
  <c r="W402" i="6"/>
  <c r="V402" i="6"/>
  <c r="U402" i="6"/>
  <c r="T402" i="6"/>
  <c r="S402" i="6"/>
  <c r="R402" i="6"/>
  <c r="Q402" i="6"/>
  <c r="W401" i="6"/>
  <c r="V401" i="6"/>
  <c r="U401" i="6"/>
  <c r="T401" i="6"/>
  <c r="S401" i="6"/>
  <c r="R401" i="6"/>
  <c r="Q401" i="6"/>
  <c r="W400" i="6"/>
  <c r="V400" i="6"/>
  <c r="U400" i="6"/>
  <c r="T400" i="6"/>
  <c r="S400" i="6"/>
  <c r="R400" i="6"/>
  <c r="Q400" i="6"/>
  <c r="W396" i="6"/>
  <c r="V396" i="6"/>
  <c r="U396" i="6"/>
  <c r="T396" i="6"/>
  <c r="R396" i="6"/>
  <c r="Q396" i="6"/>
  <c r="W395" i="6"/>
  <c r="V395" i="6"/>
  <c r="U395" i="6"/>
  <c r="T395" i="6"/>
  <c r="S395" i="6"/>
  <c r="R395" i="6"/>
  <c r="Q395" i="6"/>
  <c r="W394" i="6"/>
  <c r="V394" i="6"/>
  <c r="U394" i="6"/>
  <c r="T394" i="6"/>
  <c r="S394" i="6"/>
  <c r="R394" i="6"/>
  <c r="Q394" i="6"/>
  <c r="W393" i="6"/>
  <c r="V393" i="6"/>
  <c r="U393" i="6"/>
  <c r="T393" i="6"/>
  <c r="S393" i="6"/>
  <c r="R393" i="6"/>
  <c r="Q393" i="6"/>
  <c r="W389" i="6"/>
  <c r="V389" i="6"/>
  <c r="U389" i="6"/>
  <c r="T389" i="6"/>
  <c r="S389" i="6"/>
  <c r="R389" i="6"/>
  <c r="Q389" i="6"/>
  <c r="W388" i="6"/>
  <c r="V388" i="6"/>
  <c r="U388" i="6"/>
  <c r="T388" i="6"/>
  <c r="S388" i="6"/>
  <c r="R388" i="6"/>
  <c r="Q388" i="6"/>
  <c r="W387" i="6"/>
  <c r="V387" i="6"/>
  <c r="U387" i="6"/>
  <c r="T387" i="6"/>
  <c r="S387" i="6"/>
  <c r="R387" i="6"/>
  <c r="Q387" i="6"/>
  <c r="W386" i="6"/>
  <c r="V386" i="6"/>
  <c r="U386" i="6"/>
  <c r="T386" i="6"/>
  <c r="S386" i="6"/>
  <c r="R386" i="6"/>
  <c r="Q386" i="6"/>
  <c r="W382" i="6"/>
  <c r="V382" i="6"/>
  <c r="U382" i="6"/>
  <c r="T382" i="6"/>
  <c r="R382" i="6"/>
  <c r="Q382" i="6"/>
  <c r="W381" i="6"/>
  <c r="V381" i="6"/>
  <c r="U381" i="6"/>
  <c r="T381" i="6"/>
  <c r="R381" i="6"/>
  <c r="Q381" i="6"/>
  <c r="W377" i="6"/>
  <c r="V377" i="6"/>
  <c r="U377" i="6"/>
  <c r="T377" i="6"/>
  <c r="S377" i="6"/>
  <c r="R377" i="6"/>
  <c r="Q377" i="6"/>
  <c r="W376" i="6"/>
  <c r="V376" i="6"/>
  <c r="U376" i="6"/>
  <c r="T376" i="6"/>
  <c r="R376" i="6"/>
  <c r="Q376" i="6"/>
  <c r="W375" i="6"/>
  <c r="V375" i="6"/>
  <c r="U375" i="6"/>
  <c r="T375" i="6"/>
  <c r="S375" i="6"/>
  <c r="R375" i="6"/>
  <c r="Q375" i="6"/>
  <c r="W374" i="6"/>
  <c r="V374" i="6"/>
  <c r="U374" i="6"/>
  <c r="T374" i="6"/>
  <c r="S374" i="6"/>
  <c r="R374" i="6"/>
  <c r="Q374" i="6"/>
  <c r="W371" i="6"/>
  <c r="V371" i="6"/>
  <c r="U371" i="6"/>
  <c r="T371" i="6"/>
  <c r="R371" i="6"/>
  <c r="Q371" i="6"/>
  <c r="W367" i="6"/>
  <c r="V367" i="6"/>
  <c r="U367" i="6"/>
  <c r="T367" i="6"/>
  <c r="R367" i="6"/>
  <c r="Q367" i="6"/>
  <c r="W366" i="6"/>
  <c r="V366" i="6"/>
  <c r="U366" i="6"/>
  <c r="T366" i="6"/>
  <c r="R366" i="6"/>
  <c r="Q366" i="6"/>
  <c r="W365" i="6"/>
  <c r="V365" i="6"/>
  <c r="U365" i="6"/>
  <c r="T365" i="6"/>
  <c r="S365" i="6"/>
  <c r="R365" i="6"/>
  <c r="Q365" i="6"/>
  <c r="W364" i="6"/>
  <c r="V364" i="6"/>
  <c r="U364" i="6"/>
  <c r="T364" i="6"/>
  <c r="S364" i="6"/>
  <c r="R364" i="6"/>
  <c r="Q364" i="6"/>
  <c r="W363" i="6"/>
  <c r="V363" i="6"/>
  <c r="U363" i="6"/>
  <c r="T363" i="6"/>
  <c r="S363" i="6"/>
  <c r="R363" i="6"/>
  <c r="Q363" i="6"/>
  <c r="W362" i="6"/>
  <c r="V362" i="6"/>
  <c r="U362" i="6"/>
  <c r="T362" i="6"/>
  <c r="S362" i="6"/>
  <c r="R362" i="6"/>
  <c r="Q362" i="6"/>
  <c r="W361" i="6"/>
  <c r="V361" i="6"/>
  <c r="U361" i="6"/>
  <c r="T361" i="6"/>
  <c r="S361" i="6"/>
  <c r="R361" i="6"/>
  <c r="Q361" i="6"/>
  <c r="W360" i="6"/>
  <c r="V360" i="6"/>
  <c r="U360" i="6"/>
  <c r="T360" i="6"/>
  <c r="S360" i="6"/>
  <c r="R360" i="6"/>
  <c r="Q360" i="6"/>
  <c r="W359" i="6"/>
  <c r="V359" i="6"/>
  <c r="U359" i="6"/>
  <c r="T359" i="6"/>
  <c r="S359" i="6"/>
  <c r="R359" i="6"/>
  <c r="Q359" i="6"/>
  <c r="W358" i="6"/>
  <c r="V358" i="6"/>
  <c r="U358" i="6"/>
  <c r="T358" i="6"/>
  <c r="S358" i="6"/>
  <c r="R358" i="6"/>
  <c r="Q358" i="6"/>
  <c r="W357" i="6"/>
  <c r="V357" i="6"/>
  <c r="U357" i="6"/>
  <c r="T357" i="6"/>
  <c r="S357" i="6"/>
  <c r="R357" i="6"/>
  <c r="Q357" i="6"/>
  <c r="W356" i="6"/>
  <c r="V356" i="6"/>
  <c r="U356" i="6"/>
  <c r="T356" i="6"/>
  <c r="S356" i="6"/>
  <c r="R356" i="6"/>
  <c r="Q356" i="6"/>
  <c r="W355" i="6"/>
  <c r="V355" i="6"/>
  <c r="U355" i="6"/>
  <c r="T355" i="6"/>
  <c r="S355" i="6"/>
  <c r="R355" i="6"/>
  <c r="Q355" i="6"/>
  <c r="W354" i="6"/>
  <c r="V354" i="6"/>
  <c r="U354" i="6"/>
  <c r="T354" i="6"/>
  <c r="S354" i="6"/>
  <c r="R354" i="6"/>
  <c r="Q354" i="6"/>
  <c r="W350" i="6"/>
  <c r="V350" i="6"/>
  <c r="U350" i="6"/>
  <c r="T350" i="6"/>
  <c r="S350" i="6"/>
  <c r="R350" i="6"/>
  <c r="Q350" i="6"/>
  <c r="W349" i="6"/>
  <c r="V349" i="6"/>
  <c r="U349" i="6"/>
  <c r="T349" i="6"/>
  <c r="S349" i="6"/>
  <c r="R349" i="6"/>
  <c r="Q349" i="6"/>
  <c r="W348" i="6"/>
  <c r="V348" i="6"/>
  <c r="U348" i="6"/>
  <c r="T348" i="6"/>
  <c r="S348" i="6"/>
  <c r="R348" i="6"/>
  <c r="Q348" i="6"/>
  <c r="W347" i="6"/>
  <c r="V347" i="6"/>
  <c r="U347" i="6"/>
  <c r="T347" i="6"/>
  <c r="S347" i="6"/>
  <c r="R347" i="6"/>
  <c r="Q347" i="6"/>
  <c r="W343" i="6"/>
  <c r="V343" i="6"/>
  <c r="U343" i="6"/>
  <c r="T343" i="6"/>
  <c r="S343" i="6"/>
  <c r="R343" i="6"/>
  <c r="Q343" i="6"/>
  <c r="W339" i="6"/>
  <c r="V339" i="6"/>
  <c r="U339" i="6"/>
  <c r="T339" i="6"/>
  <c r="S339" i="6"/>
  <c r="R339" i="6"/>
  <c r="Q339" i="6"/>
  <c r="W338" i="6"/>
  <c r="V338" i="6"/>
  <c r="U338" i="6"/>
  <c r="T338" i="6"/>
  <c r="S338" i="6"/>
  <c r="R338" i="6"/>
  <c r="Q338" i="6"/>
  <c r="W337" i="6"/>
  <c r="V337" i="6"/>
  <c r="U337" i="6"/>
  <c r="T337" i="6"/>
  <c r="S337" i="6"/>
  <c r="R337" i="6"/>
  <c r="Q337" i="6"/>
  <c r="W336" i="6"/>
  <c r="V336" i="6"/>
  <c r="U336" i="6"/>
  <c r="T336" i="6"/>
  <c r="S336" i="6"/>
  <c r="R336" i="6"/>
  <c r="Q336" i="6"/>
  <c r="W335" i="6"/>
  <c r="V335" i="6"/>
  <c r="U335" i="6"/>
  <c r="T335" i="6"/>
  <c r="S335" i="6"/>
  <c r="R335" i="6"/>
  <c r="Q335" i="6"/>
  <c r="W334" i="6"/>
  <c r="V334" i="6"/>
  <c r="U334" i="6"/>
  <c r="T334" i="6"/>
  <c r="S334" i="6"/>
  <c r="R334" i="6"/>
  <c r="Q334" i="6"/>
  <c r="W333" i="6"/>
  <c r="V333" i="6"/>
  <c r="U333" i="6"/>
  <c r="T333" i="6"/>
  <c r="S333" i="6"/>
  <c r="R333" i="6"/>
  <c r="Q333" i="6"/>
  <c r="W329" i="6"/>
  <c r="V329" i="6"/>
  <c r="U329" i="6"/>
  <c r="T329" i="6"/>
  <c r="S329" i="6"/>
  <c r="R329" i="6"/>
  <c r="Q329" i="6"/>
  <c r="W328" i="6"/>
  <c r="V328" i="6"/>
  <c r="U328" i="6"/>
  <c r="T328" i="6"/>
  <c r="S328" i="6"/>
  <c r="R328" i="6"/>
  <c r="Q328" i="6"/>
  <c r="W327" i="6"/>
  <c r="V327" i="6"/>
  <c r="U327" i="6"/>
  <c r="T327" i="6"/>
  <c r="S327" i="6"/>
  <c r="R327" i="6"/>
  <c r="Q327" i="6"/>
  <c r="W326" i="6"/>
  <c r="V326" i="6"/>
  <c r="U326" i="6"/>
  <c r="T326" i="6"/>
  <c r="S326" i="6"/>
  <c r="R326" i="6"/>
  <c r="Q326" i="6"/>
  <c r="W322" i="6"/>
  <c r="V322" i="6"/>
  <c r="U322" i="6"/>
  <c r="T322" i="6"/>
  <c r="S322" i="6"/>
  <c r="R322" i="6"/>
  <c r="Q322" i="6"/>
  <c r="W321" i="6"/>
  <c r="V321" i="6"/>
  <c r="U321" i="6"/>
  <c r="T321" i="6"/>
  <c r="S321" i="6"/>
  <c r="R321" i="6"/>
  <c r="Q321" i="6"/>
  <c r="W320" i="6"/>
  <c r="V320" i="6"/>
  <c r="U320" i="6"/>
  <c r="T320" i="6"/>
  <c r="S320" i="6"/>
  <c r="R320" i="6"/>
  <c r="Q320" i="6"/>
  <c r="W319" i="6"/>
  <c r="V319" i="6"/>
  <c r="U319" i="6"/>
  <c r="T319" i="6"/>
  <c r="S319" i="6"/>
  <c r="R319" i="6"/>
  <c r="Q319" i="6"/>
  <c r="W315" i="6"/>
  <c r="V315" i="6"/>
  <c r="U315" i="6"/>
  <c r="T315" i="6"/>
  <c r="S315" i="6"/>
  <c r="R315" i="6"/>
  <c r="Q315" i="6"/>
  <c r="W314" i="6"/>
  <c r="V314" i="6"/>
  <c r="U314" i="6"/>
  <c r="T314" i="6"/>
  <c r="S314" i="6"/>
  <c r="R314" i="6"/>
  <c r="Q314" i="6"/>
  <c r="W313" i="6"/>
  <c r="V313" i="6"/>
  <c r="U313" i="6"/>
  <c r="T313" i="6"/>
  <c r="S313" i="6"/>
  <c r="R313" i="6"/>
  <c r="Q313" i="6"/>
  <c r="W312" i="6"/>
  <c r="V312" i="6"/>
  <c r="U312" i="6"/>
  <c r="T312" i="6"/>
  <c r="S312" i="6"/>
  <c r="R312" i="6"/>
  <c r="Q312" i="6"/>
  <c r="W308" i="6"/>
  <c r="V308" i="6"/>
  <c r="U308" i="6"/>
  <c r="T308" i="6"/>
  <c r="R308" i="6"/>
  <c r="Q308" i="6"/>
  <c r="W304" i="6"/>
  <c r="V304" i="6"/>
  <c r="U304" i="6"/>
  <c r="T304" i="6"/>
  <c r="R304" i="6"/>
  <c r="Q304" i="6"/>
  <c r="W300" i="6"/>
  <c r="V300" i="6"/>
  <c r="U300" i="6"/>
  <c r="T300" i="6"/>
  <c r="R300" i="6"/>
  <c r="Q300" i="6"/>
  <c r="W296" i="6"/>
  <c r="V296" i="6"/>
  <c r="U296" i="6"/>
  <c r="T296" i="6"/>
  <c r="R296" i="6"/>
  <c r="Q296" i="6"/>
  <c r="W292" i="6"/>
  <c r="V292" i="6"/>
  <c r="U292" i="6"/>
  <c r="T292" i="6"/>
  <c r="S292" i="6"/>
  <c r="R292" i="6"/>
  <c r="Q292" i="6"/>
  <c r="W291" i="6"/>
  <c r="V291" i="6"/>
  <c r="U291" i="6"/>
  <c r="T291" i="6"/>
  <c r="S291" i="6"/>
  <c r="R291" i="6"/>
  <c r="Q291" i="6"/>
  <c r="W290" i="6"/>
  <c r="V290" i="6"/>
  <c r="U290" i="6"/>
  <c r="T290" i="6"/>
  <c r="S290" i="6"/>
  <c r="R290" i="6"/>
  <c r="Q290" i="6"/>
  <c r="W289" i="6"/>
  <c r="V289" i="6"/>
  <c r="U289" i="6"/>
  <c r="T289" i="6"/>
  <c r="S289" i="6"/>
  <c r="R289" i="6"/>
  <c r="Q289" i="6"/>
  <c r="W285" i="6"/>
  <c r="V285" i="6"/>
  <c r="U285" i="6"/>
  <c r="T285" i="6"/>
  <c r="S285" i="6"/>
  <c r="R285" i="6"/>
  <c r="Q285" i="6"/>
  <c r="W284" i="6"/>
  <c r="V284" i="6"/>
  <c r="U284" i="6"/>
  <c r="T284" i="6"/>
  <c r="S284" i="6"/>
  <c r="R284" i="6"/>
  <c r="Q284" i="6"/>
  <c r="W283" i="6"/>
  <c r="V283" i="6"/>
  <c r="U283" i="6"/>
  <c r="T283" i="6"/>
  <c r="S283" i="6"/>
  <c r="R283" i="6"/>
  <c r="Q283" i="6"/>
  <c r="W282" i="6"/>
  <c r="V282" i="6"/>
  <c r="U282" i="6"/>
  <c r="T282" i="6"/>
  <c r="S282" i="6"/>
  <c r="R282" i="6"/>
  <c r="Q282" i="6"/>
  <c r="W278" i="6"/>
  <c r="V278" i="6"/>
  <c r="U278" i="6"/>
  <c r="T278" i="6"/>
  <c r="S278" i="6"/>
  <c r="R278" i="6"/>
  <c r="Q278" i="6"/>
  <c r="W277" i="6"/>
  <c r="V277" i="6"/>
  <c r="U277" i="6"/>
  <c r="T277" i="6"/>
  <c r="S277" i="6"/>
  <c r="R277" i="6"/>
  <c r="Q277" i="6"/>
  <c r="W276" i="6"/>
  <c r="V276" i="6"/>
  <c r="U276" i="6"/>
  <c r="T276" i="6"/>
  <c r="S276" i="6"/>
  <c r="R276" i="6"/>
  <c r="Q276" i="6"/>
  <c r="W275" i="6"/>
  <c r="V275" i="6"/>
  <c r="U275" i="6"/>
  <c r="T275" i="6"/>
  <c r="S275" i="6"/>
  <c r="R275" i="6"/>
  <c r="Q275" i="6"/>
  <c r="W271" i="6"/>
  <c r="V271" i="6"/>
  <c r="U271" i="6"/>
  <c r="T271" i="6"/>
  <c r="S271" i="6"/>
  <c r="R271" i="6"/>
  <c r="Q271" i="6"/>
  <c r="W270" i="6"/>
  <c r="V270" i="6"/>
  <c r="U270" i="6"/>
  <c r="T270" i="6"/>
  <c r="S270" i="6"/>
  <c r="R270" i="6"/>
  <c r="Q270" i="6"/>
  <c r="W266" i="6"/>
  <c r="V266" i="6"/>
  <c r="U266" i="6"/>
  <c r="T266" i="6"/>
  <c r="S266" i="6"/>
  <c r="R266" i="6"/>
  <c r="Q266" i="6"/>
  <c r="W265" i="6"/>
  <c r="V265" i="6"/>
  <c r="U265" i="6"/>
  <c r="T265" i="6"/>
  <c r="S265" i="6"/>
  <c r="R265" i="6"/>
  <c r="Q265" i="6"/>
  <c r="W261" i="6"/>
  <c r="V261" i="6"/>
  <c r="U261" i="6"/>
  <c r="T261" i="6"/>
  <c r="S261" i="6"/>
  <c r="R261" i="6"/>
  <c r="Q261" i="6"/>
  <c r="W260" i="6"/>
  <c r="V260" i="6"/>
  <c r="U260" i="6"/>
  <c r="T260" i="6"/>
  <c r="S260" i="6"/>
  <c r="R260" i="6"/>
  <c r="Q260" i="6"/>
  <c r="W259" i="6"/>
  <c r="V259" i="6"/>
  <c r="U259" i="6"/>
  <c r="T259" i="6"/>
  <c r="S259" i="6"/>
  <c r="R259" i="6"/>
  <c r="Q259" i="6"/>
  <c r="W258" i="6"/>
  <c r="V258" i="6"/>
  <c r="U258" i="6"/>
  <c r="T258" i="6"/>
  <c r="S258" i="6"/>
  <c r="R258" i="6"/>
  <c r="Q258" i="6"/>
  <c r="W254" i="6"/>
  <c r="V254" i="6"/>
  <c r="U254" i="6"/>
  <c r="T254" i="6"/>
  <c r="S254" i="6"/>
  <c r="R254" i="6"/>
  <c r="Q254" i="6"/>
  <c r="W253" i="6"/>
  <c r="V253" i="6"/>
  <c r="U253" i="6"/>
  <c r="T253" i="6"/>
  <c r="S253" i="6"/>
  <c r="R253" i="6"/>
  <c r="Q253" i="6"/>
  <c r="W252" i="6"/>
  <c r="V252" i="6"/>
  <c r="U252" i="6"/>
  <c r="T252" i="6"/>
  <c r="S252" i="6"/>
  <c r="R252" i="6"/>
  <c r="Q252" i="6"/>
  <c r="W251" i="6"/>
  <c r="V251" i="6"/>
  <c r="U251" i="6"/>
  <c r="T251" i="6"/>
  <c r="S251" i="6"/>
  <c r="R251" i="6"/>
  <c r="Q251" i="6"/>
  <c r="W247" i="6"/>
  <c r="V247" i="6"/>
  <c r="U247" i="6"/>
  <c r="T247" i="6"/>
  <c r="S247" i="6"/>
  <c r="R247" i="6"/>
  <c r="Q247" i="6"/>
  <c r="W246" i="6"/>
  <c r="V246" i="6"/>
  <c r="U246" i="6"/>
  <c r="T246" i="6"/>
  <c r="S246" i="6"/>
  <c r="R246" i="6"/>
  <c r="Q246" i="6"/>
  <c r="W242" i="6"/>
  <c r="V242" i="6"/>
  <c r="U242" i="6"/>
  <c r="T242" i="6"/>
  <c r="S242" i="6"/>
  <c r="R242" i="6"/>
  <c r="Q242" i="6"/>
  <c r="W241" i="6"/>
  <c r="V241" i="6"/>
  <c r="U241" i="6"/>
  <c r="T241" i="6"/>
  <c r="S241" i="6"/>
  <c r="R241" i="6"/>
  <c r="Q241" i="6"/>
  <c r="W240" i="6"/>
  <c r="V240" i="6"/>
  <c r="U240" i="6"/>
  <c r="T240" i="6"/>
  <c r="S240" i="6"/>
  <c r="R240" i="6"/>
  <c r="Q240" i="6"/>
  <c r="W239" i="6"/>
  <c r="V239" i="6"/>
  <c r="U239" i="6"/>
  <c r="T239" i="6"/>
  <c r="S239" i="6"/>
  <c r="R239" i="6"/>
  <c r="Q239" i="6"/>
  <c r="W235" i="6"/>
  <c r="V235" i="6"/>
  <c r="U235" i="6"/>
  <c r="T235" i="6"/>
  <c r="S235" i="6"/>
  <c r="R235" i="6"/>
  <c r="Q235" i="6"/>
  <c r="W234" i="6"/>
  <c r="V234" i="6"/>
  <c r="U234" i="6"/>
  <c r="T234" i="6"/>
  <c r="S234" i="6"/>
  <c r="R234" i="6"/>
  <c r="Q234" i="6"/>
  <c r="W233" i="6"/>
  <c r="V233" i="6"/>
  <c r="U233" i="6"/>
  <c r="T233" i="6"/>
  <c r="S233" i="6"/>
  <c r="R233" i="6"/>
  <c r="Q233" i="6"/>
  <c r="W232" i="6"/>
  <c r="V232" i="6"/>
  <c r="U232" i="6"/>
  <c r="T232" i="6"/>
  <c r="S232" i="6"/>
  <c r="R232" i="6"/>
  <c r="Q232" i="6"/>
  <c r="W231" i="6"/>
  <c r="V231" i="6"/>
  <c r="U231" i="6"/>
  <c r="T231" i="6"/>
  <c r="S231" i="6"/>
  <c r="R231" i="6"/>
  <c r="Q231" i="6"/>
  <c r="W230" i="6"/>
  <c r="V230" i="6"/>
  <c r="U230" i="6"/>
  <c r="T230" i="6"/>
  <c r="S230" i="6"/>
  <c r="R230" i="6"/>
  <c r="Q230" i="6"/>
  <c r="W229" i="6"/>
  <c r="V229" i="6"/>
  <c r="U229" i="6"/>
  <c r="T229" i="6"/>
  <c r="S229" i="6"/>
  <c r="R229" i="6"/>
  <c r="Q229" i="6"/>
  <c r="W228" i="6"/>
  <c r="V228" i="6"/>
  <c r="U228" i="6"/>
  <c r="T228" i="6"/>
  <c r="S228" i="6"/>
  <c r="R228" i="6"/>
  <c r="Q228" i="6"/>
  <c r="W224" i="6"/>
  <c r="V224" i="6"/>
  <c r="U224" i="6"/>
  <c r="T224" i="6"/>
  <c r="S224" i="6"/>
  <c r="R224" i="6"/>
  <c r="Q224" i="6"/>
  <c r="W223" i="6"/>
  <c r="V223" i="6"/>
  <c r="U223" i="6"/>
  <c r="T223" i="6"/>
  <c r="S223" i="6"/>
  <c r="R223" i="6"/>
  <c r="Q223" i="6"/>
  <c r="W222" i="6"/>
  <c r="V222" i="6"/>
  <c r="U222" i="6"/>
  <c r="T222" i="6"/>
  <c r="S222" i="6"/>
  <c r="R222" i="6"/>
  <c r="Q222" i="6"/>
  <c r="W221" i="6"/>
  <c r="V221" i="6"/>
  <c r="U221" i="6"/>
  <c r="T221" i="6"/>
  <c r="S221" i="6"/>
  <c r="R221" i="6"/>
  <c r="Q221" i="6"/>
  <c r="W220" i="6"/>
  <c r="V220" i="6"/>
  <c r="U220" i="6"/>
  <c r="T220" i="6"/>
  <c r="S220" i="6"/>
  <c r="R220" i="6"/>
  <c r="Q220" i="6"/>
  <c r="W219" i="6"/>
  <c r="V219" i="6"/>
  <c r="U219" i="6"/>
  <c r="T219" i="6"/>
  <c r="S219" i="6"/>
  <c r="R219" i="6"/>
  <c r="Q219" i="6"/>
  <c r="W218" i="6"/>
  <c r="V218" i="6"/>
  <c r="U218" i="6"/>
  <c r="T218" i="6"/>
  <c r="S218" i="6"/>
  <c r="R218" i="6"/>
  <c r="Q218" i="6"/>
  <c r="W217" i="6"/>
  <c r="V217" i="6"/>
  <c r="U217" i="6"/>
  <c r="T217" i="6"/>
  <c r="S217" i="6"/>
  <c r="R217" i="6"/>
  <c r="Q217" i="6"/>
  <c r="W216" i="6"/>
  <c r="V216" i="6"/>
  <c r="U216" i="6"/>
  <c r="T216" i="6"/>
  <c r="S216" i="6"/>
  <c r="R216" i="6"/>
  <c r="Q216" i="6"/>
  <c r="W215" i="6"/>
  <c r="V215" i="6"/>
  <c r="U215" i="6"/>
  <c r="T215" i="6"/>
  <c r="S215" i="6"/>
  <c r="R215" i="6"/>
  <c r="Q215" i="6"/>
  <c r="W214" i="6"/>
  <c r="V214" i="6"/>
  <c r="U214" i="6"/>
  <c r="T214" i="6"/>
  <c r="S214" i="6"/>
  <c r="R214" i="6"/>
  <c r="Q214" i="6"/>
  <c r="W213" i="6"/>
  <c r="V213" i="6"/>
  <c r="U213" i="6"/>
  <c r="T213" i="6"/>
  <c r="S213" i="6"/>
  <c r="R213" i="6"/>
  <c r="Q213" i="6"/>
  <c r="W212" i="6"/>
  <c r="V212" i="6"/>
  <c r="U212" i="6"/>
  <c r="T212" i="6"/>
  <c r="S212" i="6"/>
  <c r="R212" i="6"/>
  <c r="Q212" i="6"/>
  <c r="W211" i="6"/>
  <c r="V211" i="6"/>
  <c r="U211" i="6"/>
  <c r="T211" i="6"/>
  <c r="S211" i="6"/>
  <c r="R211" i="6"/>
  <c r="Q211" i="6"/>
  <c r="W210" i="6"/>
  <c r="V210" i="6"/>
  <c r="U210" i="6"/>
  <c r="T210" i="6"/>
  <c r="S210" i="6"/>
  <c r="R210" i="6"/>
  <c r="Q210" i="6"/>
  <c r="W209" i="6"/>
  <c r="V209" i="6"/>
  <c r="U209" i="6"/>
  <c r="T209" i="6"/>
  <c r="S209" i="6"/>
  <c r="R209" i="6"/>
  <c r="Q209" i="6"/>
  <c r="W208" i="6"/>
  <c r="V208" i="6"/>
  <c r="U208" i="6"/>
  <c r="T208" i="6"/>
  <c r="S208" i="6"/>
  <c r="R208" i="6"/>
  <c r="Q208" i="6"/>
  <c r="W207" i="6"/>
  <c r="V207" i="6"/>
  <c r="U207" i="6"/>
  <c r="T207" i="6"/>
  <c r="S207" i="6"/>
  <c r="R207" i="6"/>
  <c r="Q207" i="6"/>
  <c r="W206" i="6"/>
  <c r="V206" i="6"/>
  <c r="U206" i="6"/>
  <c r="T206" i="6"/>
  <c r="S206" i="6"/>
  <c r="R206" i="6"/>
  <c r="Q206" i="6"/>
  <c r="W205" i="6"/>
  <c r="V205" i="6"/>
  <c r="U205" i="6"/>
  <c r="T205" i="6"/>
  <c r="S205" i="6"/>
  <c r="R205" i="6"/>
  <c r="Q205" i="6"/>
  <c r="W204" i="6"/>
  <c r="V204" i="6"/>
  <c r="U204" i="6"/>
  <c r="T204" i="6"/>
  <c r="S204" i="6"/>
  <c r="R204" i="6"/>
  <c r="Q204" i="6"/>
  <c r="W203" i="6"/>
  <c r="V203" i="6"/>
  <c r="U203" i="6"/>
  <c r="T203" i="6"/>
  <c r="S203" i="6"/>
  <c r="R203" i="6"/>
  <c r="Q203" i="6"/>
  <c r="W202" i="6"/>
  <c r="V202" i="6"/>
  <c r="U202" i="6"/>
  <c r="T202" i="6"/>
  <c r="S202" i="6"/>
  <c r="R202" i="6"/>
  <c r="Q202" i="6"/>
  <c r="W201" i="6"/>
  <c r="V201" i="6"/>
  <c r="U201" i="6"/>
  <c r="T201" i="6"/>
  <c r="S201" i="6"/>
  <c r="R201" i="6"/>
  <c r="Q201" i="6"/>
  <c r="W200" i="6"/>
  <c r="V200" i="6"/>
  <c r="U200" i="6"/>
  <c r="T200" i="6"/>
  <c r="S200" i="6"/>
  <c r="R200" i="6"/>
  <c r="Q200" i="6"/>
  <c r="W199" i="6"/>
  <c r="V199" i="6"/>
  <c r="U199" i="6"/>
  <c r="T199" i="6"/>
  <c r="S199" i="6"/>
  <c r="R199" i="6"/>
  <c r="Q199" i="6"/>
  <c r="W198" i="6"/>
  <c r="V198" i="6"/>
  <c r="U198" i="6"/>
  <c r="T198" i="6"/>
  <c r="S198" i="6"/>
  <c r="R198" i="6"/>
  <c r="Q198" i="6"/>
  <c r="W197" i="6"/>
  <c r="V197" i="6"/>
  <c r="U197" i="6"/>
  <c r="T197" i="6"/>
  <c r="S197" i="6"/>
  <c r="R197" i="6"/>
  <c r="Q197" i="6"/>
  <c r="W193" i="6"/>
  <c r="V193" i="6"/>
  <c r="U193" i="6"/>
  <c r="T193" i="6"/>
  <c r="S193" i="6"/>
  <c r="R193" i="6"/>
  <c r="Q193" i="6"/>
  <c r="W192" i="6"/>
  <c r="V192" i="6"/>
  <c r="U192" i="6"/>
  <c r="T192" i="6"/>
  <c r="S192" i="6"/>
  <c r="R192" i="6"/>
  <c r="Q192" i="6"/>
  <c r="W191" i="6"/>
  <c r="V191" i="6"/>
  <c r="U191" i="6"/>
  <c r="T191" i="6"/>
  <c r="S191" i="6"/>
  <c r="R191" i="6"/>
  <c r="Q191" i="6"/>
  <c r="W190" i="6"/>
  <c r="V190" i="6"/>
  <c r="U190" i="6"/>
  <c r="T190" i="6"/>
  <c r="S190" i="6"/>
  <c r="R190" i="6"/>
  <c r="Q190" i="6"/>
  <c r="W189" i="6"/>
  <c r="V189" i="6"/>
  <c r="U189" i="6"/>
  <c r="T189" i="6"/>
  <c r="S189" i="6"/>
  <c r="R189" i="6"/>
  <c r="Q189" i="6"/>
  <c r="W185" i="6"/>
  <c r="V185" i="6"/>
  <c r="U185" i="6"/>
  <c r="T185" i="6"/>
  <c r="S185" i="6"/>
  <c r="R185" i="6"/>
  <c r="Q185" i="6"/>
  <c r="W184" i="6"/>
  <c r="V184" i="6"/>
  <c r="U184" i="6"/>
  <c r="T184" i="6"/>
  <c r="S184" i="6"/>
  <c r="R184" i="6"/>
  <c r="Q184" i="6"/>
  <c r="W183" i="6"/>
  <c r="V183" i="6"/>
  <c r="U183" i="6"/>
  <c r="T183" i="6"/>
  <c r="S183" i="6"/>
  <c r="R183" i="6"/>
  <c r="Q183" i="6"/>
  <c r="W182" i="6"/>
  <c r="V182" i="6"/>
  <c r="U182" i="6"/>
  <c r="T182" i="6"/>
  <c r="S182" i="6"/>
  <c r="R182" i="6"/>
  <c r="Q182" i="6"/>
  <c r="W181" i="6"/>
  <c r="V181" i="6"/>
  <c r="U181" i="6"/>
  <c r="T181" i="6"/>
  <c r="S181" i="6"/>
  <c r="R181" i="6"/>
  <c r="Q181" i="6"/>
  <c r="W177" i="6"/>
  <c r="V177" i="6"/>
  <c r="U177" i="6"/>
  <c r="T177" i="6"/>
  <c r="R177" i="6"/>
  <c r="Q177" i="6"/>
  <c r="W176" i="6"/>
  <c r="V176" i="6"/>
  <c r="U176" i="6"/>
  <c r="T176" i="6"/>
  <c r="R176" i="6"/>
  <c r="Q176" i="6"/>
  <c r="W172" i="6"/>
  <c r="V172" i="6"/>
  <c r="U172" i="6"/>
  <c r="T172" i="6"/>
  <c r="S172" i="6"/>
  <c r="R172" i="6"/>
  <c r="Q172" i="6"/>
  <c r="W171" i="6"/>
  <c r="V171" i="6"/>
  <c r="U171" i="6"/>
  <c r="T171" i="6"/>
  <c r="S171" i="6"/>
  <c r="R171" i="6"/>
  <c r="Q171" i="6"/>
  <c r="W170" i="6"/>
  <c r="V170" i="6"/>
  <c r="U170" i="6"/>
  <c r="T170" i="6"/>
  <c r="S170" i="6"/>
  <c r="R170" i="6"/>
  <c r="Q170" i="6"/>
  <c r="W166" i="6"/>
  <c r="V166" i="6"/>
  <c r="U166" i="6"/>
  <c r="T166" i="6"/>
  <c r="S166" i="6"/>
  <c r="R166" i="6"/>
  <c r="Q166" i="6"/>
  <c r="W165" i="6"/>
  <c r="V165" i="6"/>
  <c r="U165" i="6"/>
  <c r="T165" i="6"/>
  <c r="S165" i="6"/>
  <c r="R165" i="6"/>
  <c r="Q165" i="6"/>
  <c r="W164" i="6"/>
  <c r="V164" i="6"/>
  <c r="U164" i="6"/>
  <c r="T164" i="6"/>
  <c r="S164" i="6"/>
  <c r="R164" i="6"/>
  <c r="Q164" i="6"/>
  <c r="W160" i="6"/>
  <c r="V160" i="6"/>
  <c r="U160" i="6"/>
  <c r="T160" i="6"/>
  <c r="S160" i="6"/>
  <c r="R160" i="6"/>
  <c r="Q160" i="6"/>
  <c r="W159" i="6"/>
  <c r="V159" i="6"/>
  <c r="U159" i="6"/>
  <c r="T159" i="6"/>
  <c r="S159" i="6"/>
  <c r="R159" i="6"/>
  <c r="Q159" i="6"/>
  <c r="W158" i="6"/>
  <c r="V158" i="6"/>
  <c r="U158" i="6"/>
  <c r="T158" i="6"/>
  <c r="S158" i="6"/>
  <c r="R158" i="6"/>
  <c r="Q158" i="6"/>
  <c r="W154" i="6"/>
  <c r="V154" i="6"/>
  <c r="U154" i="6"/>
  <c r="T154" i="6"/>
  <c r="R154" i="6"/>
  <c r="Q154" i="6"/>
  <c r="W153" i="6"/>
  <c r="V153" i="6"/>
  <c r="U153" i="6"/>
  <c r="T153" i="6"/>
  <c r="S153" i="6"/>
  <c r="R153" i="6"/>
  <c r="Q153" i="6"/>
  <c r="W152" i="6"/>
  <c r="V152" i="6"/>
  <c r="U152" i="6"/>
  <c r="T152" i="6"/>
  <c r="S152" i="6"/>
  <c r="R152" i="6"/>
  <c r="Q152" i="6"/>
  <c r="W151" i="6"/>
  <c r="V151" i="6"/>
  <c r="U151" i="6"/>
  <c r="T151" i="6"/>
  <c r="S151" i="6"/>
  <c r="R151" i="6"/>
  <c r="Q151" i="6"/>
  <c r="W150" i="6"/>
  <c r="V150" i="6"/>
  <c r="U150" i="6"/>
  <c r="T150" i="6"/>
  <c r="S150" i="6"/>
  <c r="R150" i="6"/>
  <c r="Q150" i="6"/>
  <c r="W149" i="6"/>
  <c r="V149" i="6"/>
  <c r="U149" i="6"/>
  <c r="T149" i="6"/>
  <c r="S149" i="6"/>
  <c r="R149" i="6"/>
  <c r="Q149" i="6"/>
  <c r="W145" i="6"/>
  <c r="V145" i="6"/>
  <c r="U145" i="6"/>
  <c r="T145" i="6"/>
  <c r="R145" i="6"/>
  <c r="Q145" i="6"/>
  <c r="W144" i="6"/>
  <c r="V144" i="6"/>
  <c r="U144" i="6"/>
  <c r="T144" i="6"/>
  <c r="S144" i="6"/>
  <c r="R144" i="6"/>
  <c r="Q144" i="6"/>
  <c r="W143" i="6"/>
  <c r="V143" i="6"/>
  <c r="U143" i="6"/>
  <c r="T143" i="6"/>
  <c r="S143" i="6"/>
  <c r="R143" i="6"/>
  <c r="Q143" i="6"/>
  <c r="W142" i="6"/>
  <c r="V142" i="6"/>
  <c r="U142" i="6"/>
  <c r="T142" i="6"/>
  <c r="S142" i="6"/>
  <c r="R142" i="6"/>
  <c r="Q142" i="6"/>
  <c r="W141" i="6"/>
  <c r="V141" i="6"/>
  <c r="U141" i="6"/>
  <c r="T141" i="6"/>
  <c r="S141" i="6"/>
  <c r="R141" i="6"/>
  <c r="Q141" i="6"/>
  <c r="W140" i="6"/>
  <c r="V140" i="6"/>
  <c r="U140" i="6"/>
  <c r="T140" i="6"/>
  <c r="S140" i="6"/>
  <c r="R140" i="6"/>
  <c r="Q140" i="6"/>
  <c r="W136" i="6"/>
  <c r="V136" i="6"/>
  <c r="U136" i="6"/>
  <c r="T136" i="6"/>
  <c r="R136" i="6"/>
  <c r="Q136" i="6"/>
  <c r="W135" i="6"/>
  <c r="V135" i="6"/>
  <c r="U135" i="6"/>
  <c r="T135" i="6"/>
  <c r="R135" i="6"/>
  <c r="Q135" i="6"/>
  <c r="W134" i="6"/>
  <c r="V134" i="6"/>
  <c r="U134" i="6"/>
  <c r="T134" i="6"/>
  <c r="R134" i="6"/>
  <c r="Q134" i="6"/>
  <c r="W133" i="6"/>
  <c r="V133" i="6"/>
  <c r="U133" i="6"/>
  <c r="T133" i="6"/>
  <c r="R133" i="6"/>
  <c r="Q133" i="6"/>
  <c r="W132" i="6"/>
  <c r="V132" i="6"/>
  <c r="U132" i="6"/>
  <c r="T132" i="6"/>
  <c r="R132" i="6"/>
  <c r="Q132" i="6"/>
  <c r="W131" i="6"/>
  <c r="V131" i="6"/>
  <c r="U131" i="6"/>
  <c r="T131" i="6"/>
  <c r="R131" i="6"/>
  <c r="Q131" i="6"/>
  <c r="W127" i="6"/>
  <c r="V127" i="6"/>
  <c r="U127" i="6"/>
  <c r="T127" i="6"/>
  <c r="R127" i="6"/>
  <c r="Q127" i="6"/>
  <c r="W123" i="6"/>
  <c r="V123" i="6"/>
  <c r="U123" i="6"/>
  <c r="T123" i="6"/>
  <c r="R123" i="6"/>
  <c r="Q123" i="6"/>
  <c r="W122" i="6"/>
  <c r="V122" i="6"/>
  <c r="U122" i="6"/>
  <c r="T122" i="6"/>
  <c r="R122" i="6"/>
  <c r="Q122" i="6"/>
  <c r="W121" i="6"/>
  <c r="V121" i="6"/>
  <c r="U121" i="6"/>
  <c r="T121" i="6"/>
  <c r="R121" i="6"/>
  <c r="Q121" i="6"/>
  <c r="W120" i="6"/>
  <c r="V120" i="6"/>
  <c r="U120" i="6"/>
  <c r="T120" i="6"/>
  <c r="R120" i="6"/>
  <c r="Q120" i="6"/>
  <c r="W119" i="6"/>
  <c r="V119" i="6"/>
  <c r="U119" i="6"/>
  <c r="T119" i="6"/>
  <c r="R119" i="6"/>
  <c r="Q119" i="6"/>
  <c r="W118" i="6"/>
  <c r="V118" i="6"/>
  <c r="U118" i="6"/>
  <c r="T118" i="6"/>
  <c r="R118" i="6"/>
  <c r="Q118" i="6"/>
  <c r="W114" i="6"/>
  <c r="V114" i="6"/>
  <c r="U114" i="6"/>
  <c r="T114" i="6"/>
  <c r="R114" i="6"/>
  <c r="Q114" i="6"/>
  <c r="W113" i="6"/>
  <c r="V113" i="6"/>
  <c r="U113" i="6"/>
  <c r="T113" i="6"/>
  <c r="R113" i="6"/>
  <c r="Q113" i="6"/>
  <c r="W112" i="6"/>
  <c r="V112" i="6"/>
  <c r="U112" i="6"/>
  <c r="T112" i="6"/>
  <c r="R112" i="6"/>
  <c r="Q112" i="6"/>
  <c r="W111" i="6"/>
  <c r="V111" i="6"/>
  <c r="U111" i="6"/>
  <c r="T111" i="6"/>
  <c r="R111" i="6"/>
  <c r="Q111" i="6"/>
  <c r="W110" i="6"/>
  <c r="V110" i="6"/>
  <c r="U110" i="6"/>
  <c r="T110" i="6"/>
  <c r="R110" i="6"/>
  <c r="Q110" i="6"/>
  <c r="W109" i="6"/>
  <c r="V109" i="6"/>
  <c r="U109" i="6"/>
  <c r="T109" i="6"/>
  <c r="R109" i="6"/>
  <c r="Q109" i="6"/>
  <c r="W105" i="6"/>
  <c r="V105" i="6"/>
  <c r="U105" i="6"/>
  <c r="T105" i="6"/>
  <c r="R105" i="6"/>
  <c r="Q105" i="6"/>
  <c r="W104" i="6"/>
  <c r="V104" i="6"/>
  <c r="U104" i="6"/>
  <c r="T104" i="6"/>
  <c r="R104" i="6"/>
  <c r="Q104" i="6"/>
  <c r="W103" i="6"/>
  <c r="V103" i="6"/>
  <c r="U103" i="6"/>
  <c r="T103" i="6"/>
  <c r="R103" i="6"/>
  <c r="Q103" i="6"/>
  <c r="W102" i="6"/>
  <c r="V102" i="6"/>
  <c r="U102" i="6"/>
  <c r="T102" i="6"/>
  <c r="R102" i="6"/>
  <c r="Q102" i="6"/>
  <c r="W101" i="6"/>
  <c r="V101" i="6"/>
  <c r="U101" i="6"/>
  <c r="T101" i="6"/>
  <c r="R101" i="6"/>
  <c r="Q101" i="6"/>
  <c r="W100" i="6"/>
  <c r="V100" i="6"/>
  <c r="U100" i="6"/>
  <c r="T100" i="6"/>
  <c r="R100" i="6"/>
  <c r="Q100" i="6"/>
  <c r="W96" i="6"/>
  <c r="V96" i="6"/>
  <c r="U96" i="6"/>
  <c r="T96" i="6"/>
  <c r="R96" i="6"/>
  <c r="Q96" i="6"/>
  <c r="W95" i="6"/>
  <c r="V95" i="6"/>
  <c r="U95" i="6"/>
  <c r="T95" i="6"/>
  <c r="R95" i="6"/>
  <c r="Q95" i="6"/>
  <c r="W94" i="6"/>
  <c r="V94" i="6"/>
  <c r="U94" i="6"/>
  <c r="T94" i="6"/>
  <c r="R94" i="6"/>
  <c r="Q94" i="6"/>
  <c r="W93" i="6"/>
  <c r="V93" i="6"/>
  <c r="U93" i="6"/>
  <c r="T93" i="6"/>
  <c r="R93" i="6"/>
  <c r="Q93" i="6"/>
  <c r="W92" i="6"/>
  <c r="V92" i="6"/>
  <c r="U92" i="6"/>
  <c r="T92" i="6"/>
  <c r="R92" i="6"/>
  <c r="Q92" i="6"/>
  <c r="W91" i="6"/>
  <c r="V91" i="6"/>
  <c r="U91" i="6"/>
  <c r="T91" i="6"/>
  <c r="R91" i="6"/>
  <c r="Q91" i="6"/>
  <c r="W87" i="6"/>
  <c r="V87" i="6"/>
  <c r="U87" i="6"/>
  <c r="T87" i="6"/>
  <c r="R87" i="6"/>
  <c r="Q87" i="6"/>
  <c r="W83" i="6"/>
  <c r="V83" i="6"/>
  <c r="U83" i="6"/>
  <c r="T83" i="6"/>
  <c r="R83" i="6"/>
  <c r="Q83" i="6"/>
  <c r="W82" i="6"/>
  <c r="V82" i="6"/>
  <c r="U82" i="6"/>
  <c r="T82" i="6"/>
  <c r="R82" i="6"/>
  <c r="Q82" i="6"/>
  <c r="W81" i="6"/>
  <c r="V81" i="6"/>
  <c r="U81" i="6"/>
  <c r="T81" i="6"/>
  <c r="R81" i="6"/>
  <c r="Q81" i="6"/>
  <c r="W80" i="6"/>
  <c r="V80" i="6"/>
  <c r="U80" i="6"/>
  <c r="T80" i="6"/>
  <c r="R80" i="6"/>
  <c r="Q80" i="6"/>
  <c r="W79" i="6"/>
  <c r="V79" i="6"/>
  <c r="U79" i="6"/>
  <c r="T79" i="6"/>
  <c r="R79" i="6"/>
  <c r="Q79" i="6"/>
  <c r="W78" i="6"/>
  <c r="V78" i="6"/>
  <c r="U78" i="6"/>
  <c r="T78" i="6"/>
  <c r="R78" i="6"/>
  <c r="Q78" i="6"/>
  <c r="W77" i="6"/>
  <c r="V77" i="6"/>
  <c r="U77" i="6"/>
  <c r="T77" i="6"/>
  <c r="R77" i="6"/>
  <c r="Q77" i="6"/>
  <c r="W76" i="6"/>
  <c r="V76" i="6"/>
  <c r="U76" i="6"/>
  <c r="T76" i="6"/>
  <c r="R76" i="6"/>
  <c r="Q76" i="6"/>
  <c r="W75" i="6"/>
  <c r="V75" i="6"/>
  <c r="U75" i="6"/>
  <c r="T75" i="6"/>
  <c r="R75" i="6"/>
  <c r="Q75" i="6"/>
  <c r="W74" i="6"/>
  <c r="V74" i="6"/>
  <c r="U74" i="6"/>
  <c r="T74" i="6"/>
  <c r="R74" i="6"/>
  <c r="Q74" i="6"/>
  <c r="W73" i="6"/>
  <c r="V73" i="6"/>
  <c r="U73" i="6"/>
  <c r="T73" i="6"/>
  <c r="R73" i="6"/>
  <c r="Q73" i="6"/>
  <c r="W72" i="6"/>
  <c r="V72" i="6"/>
  <c r="U72" i="6"/>
  <c r="T72" i="6"/>
  <c r="R72" i="6"/>
  <c r="Q72" i="6"/>
  <c r="W68" i="6"/>
  <c r="V68" i="6"/>
  <c r="U68" i="6"/>
  <c r="T68" i="6"/>
  <c r="R68" i="6"/>
  <c r="Q68" i="6"/>
  <c r="W64" i="6"/>
  <c r="V64" i="6"/>
  <c r="U64" i="6"/>
  <c r="T64" i="6"/>
  <c r="R64" i="6"/>
  <c r="Q64" i="6"/>
  <c r="W63" i="6"/>
  <c r="V63" i="6"/>
  <c r="U63" i="6"/>
  <c r="T63" i="6"/>
  <c r="R63" i="6"/>
  <c r="Q63" i="6"/>
  <c r="W59" i="6"/>
  <c r="V59" i="6"/>
  <c r="U59" i="6"/>
  <c r="T59" i="6"/>
  <c r="R59" i="6"/>
  <c r="Q59" i="6"/>
  <c r="W55" i="6"/>
  <c r="V55" i="6"/>
  <c r="U55" i="6"/>
  <c r="T55" i="6"/>
  <c r="R55" i="6"/>
  <c r="Q55" i="6"/>
  <c r="W51" i="6"/>
  <c r="V51" i="6"/>
  <c r="U51" i="6"/>
  <c r="T51" i="6"/>
  <c r="R51" i="6"/>
  <c r="Q51" i="6"/>
  <c r="W47" i="6"/>
  <c r="V47" i="6"/>
  <c r="U47" i="6"/>
  <c r="T47" i="6"/>
  <c r="R47" i="6"/>
  <c r="Q47" i="6"/>
  <c r="W46" i="6"/>
  <c r="V46" i="6"/>
  <c r="U46" i="6"/>
  <c r="T46" i="6"/>
  <c r="R46" i="6"/>
  <c r="Q46" i="6"/>
  <c r="W45" i="6"/>
  <c r="V45" i="6"/>
  <c r="U45" i="6"/>
  <c r="T45" i="6"/>
  <c r="R45" i="6"/>
  <c r="Q45" i="6"/>
  <c r="W44" i="6"/>
  <c r="V44" i="6"/>
  <c r="U44" i="6"/>
  <c r="T44" i="6"/>
  <c r="R44" i="6"/>
  <c r="Q44" i="6"/>
  <c r="W40" i="6"/>
  <c r="V40" i="6"/>
  <c r="U40" i="6"/>
  <c r="T40" i="6"/>
  <c r="R40" i="6"/>
  <c r="Q40" i="6"/>
  <c r="W39" i="6"/>
  <c r="V39" i="6"/>
  <c r="U39" i="6"/>
  <c r="T39" i="6"/>
  <c r="R39" i="6"/>
  <c r="Q39" i="6"/>
  <c r="W38" i="6"/>
  <c r="V38" i="6"/>
  <c r="U38" i="6"/>
  <c r="T38" i="6"/>
  <c r="R38" i="6"/>
  <c r="Q38" i="6"/>
  <c r="W37" i="6"/>
  <c r="V37" i="6"/>
  <c r="U37" i="6"/>
  <c r="T37" i="6"/>
  <c r="R37" i="6"/>
  <c r="Q37" i="6"/>
  <c r="W36" i="6"/>
  <c r="V36" i="6"/>
  <c r="U36" i="6"/>
  <c r="T36" i="6"/>
  <c r="R36" i="6"/>
  <c r="Q36" i="6"/>
  <c r="W35" i="6"/>
  <c r="V35" i="6"/>
  <c r="U35" i="6"/>
  <c r="T35" i="6"/>
  <c r="R35" i="6"/>
  <c r="Q35" i="6"/>
  <c r="W34" i="6"/>
  <c r="V34" i="6"/>
  <c r="U34" i="6"/>
  <c r="T34" i="6"/>
  <c r="R34" i="6"/>
  <c r="Q34" i="6"/>
  <c r="W33" i="6"/>
  <c r="V33" i="6"/>
  <c r="U33" i="6"/>
  <c r="T33" i="6"/>
  <c r="R33" i="6"/>
  <c r="Q33" i="6"/>
  <c r="W32" i="6"/>
  <c r="V32" i="6"/>
  <c r="U32" i="6"/>
  <c r="T32" i="6"/>
  <c r="R32" i="6"/>
  <c r="Q32" i="6"/>
  <c r="W31" i="6"/>
  <c r="V31" i="6"/>
  <c r="U31" i="6"/>
  <c r="T31" i="6"/>
  <c r="R31" i="6"/>
  <c r="Q31" i="6"/>
  <c r="W30" i="6"/>
  <c r="V30" i="6"/>
  <c r="U30" i="6"/>
  <c r="T30" i="6"/>
  <c r="R30" i="6"/>
  <c r="Q30" i="6"/>
  <c r="W29" i="6"/>
  <c r="V29" i="6"/>
  <c r="U29" i="6"/>
  <c r="T29" i="6"/>
  <c r="R29" i="6"/>
  <c r="Q29" i="6"/>
  <c r="W28" i="6"/>
  <c r="V28" i="6"/>
  <c r="U28" i="6"/>
  <c r="T28" i="6"/>
  <c r="R28" i="6"/>
  <c r="Q28" i="6"/>
  <c r="W27" i="6"/>
  <c r="V27" i="6"/>
  <c r="U27" i="6"/>
  <c r="T27" i="6"/>
  <c r="R27" i="6"/>
  <c r="Q27" i="6"/>
  <c r="P27" i="6"/>
  <c r="W26" i="6"/>
  <c r="V26" i="6"/>
  <c r="U26" i="6"/>
  <c r="T26" i="6"/>
  <c r="R26" i="6"/>
  <c r="Q26" i="6"/>
  <c r="P26" i="6"/>
  <c r="W25" i="6"/>
  <c r="V25" i="6"/>
  <c r="U25" i="6"/>
  <c r="T25" i="6"/>
  <c r="R25" i="6"/>
  <c r="Q25" i="6"/>
  <c r="P25" i="6"/>
  <c r="W21" i="6"/>
  <c r="V21" i="6"/>
  <c r="U21" i="6"/>
  <c r="T21" i="6"/>
  <c r="R21" i="6"/>
  <c r="Q21" i="6"/>
  <c r="P21" i="6"/>
  <c r="W17" i="6"/>
  <c r="V17" i="6"/>
  <c r="U17" i="6"/>
  <c r="T17" i="6"/>
  <c r="R17" i="6"/>
  <c r="Q17" i="6"/>
  <c r="P17" i="6"/>
  <c r="W16" i="6"/>
  <c r="V16" i="6"/>
  <c r="U16" i="6"/>
  <c r="T16" i="6"/>
  <c r="S16" i="6"/>
  <c r="S5" i="6" s="1"/>
  <c r="R16" i="6"/>
  <c r="Q16" i="6"/>
  <c r="P16" i="6"/>
  <c r="W15" i="6"/>
  <c r="V15" i="6"/>
  <c r="U15" i="6"/>
  <c r="T15" i="6"/>
  <c r="S15" i="6"/>
  <c r="R15" i="6"/>
  <c r="Q15" i="6"/>
  <c r="P15" i="6"/>
  <c r="W11" i="6"/>
  <c r="V11" i="6"/>
  <c r="U11" i="6"/>
  <c r="T11" i="6"/>
  <c r="R11" i="6"/>
  <c r="Q11" i="6"/>
  <c r="P11" i="6"/>
  <c r="W10" i="6"/>
  <c r="V10" i="6"/>
  <c r="U10" i="6"/>
  <c r="T10" i="6"/>
  <c r="S10" i="6"/>
  <c r="R10" i="6"/>
  <c r="Q10" i="6"/>
  <c r="P10" i="6"/>
  <c r="W9" i="6"/>
  <c r="V9" i="6"/>
  <c r="U9" i="6"/>
  <c r="T9" i="6"/>
  <c r="S9" i="6"/>
  <c r="R9" i="6"/>
  <c r="R5" i="6" s="1"/>
  <c r="R4" i="6" s="1"/>
  <c r="Q9" i="6"/>
  <c r="P9" i="6"/>
  <c r="W8" i="6"/>
  <c r="V8" i="6"/>
  <c r="V5" i="6" s="1"/>
  <c r="V4" i="6" s="1"/>
  <c r="U8" i="6"/>
  <c r="T8" i="6"/>
  <c r="T5" i="6" s="1"/>
  <c r="S8" i="6"/>
  <c r="R8" i="6"/>
  <c r="Q8" i="6"/>
  <c r="P8" i="6"/>
  <c r="W7" i="6"/>
  <c r="V7" i="6"/>
  <c r="U7" i="6"/>
  <c r="T7" i="6"/>
  <c r="R7" i="6"/>
  <c r="Q7" i="6"/>
  <c r="Q5" i="6" s="1"/>
  <c r="P7" i="6"/>
  <c r="P28" i="6" s="1"/>
  <c r="W5" i="6"/>
  <c r="U5" i="6"/>
  <c r="S4" i="6" l="1"/>
  <c r="T4" i="6"/>
  <c r="U4" i="6"/>
  <c r="W4" i="6"/>
</calcChain>
</file>

<file path=xl/sharedStrings.xml><?xml version="1.0" encoding="utf-8"?>
<sst xmlns="http://schemas.openxmlformats.org/spreadsheetml/2006/main" count="13539" uniqueCount="2732">
  <si>
    <t>1. 관리자 페이지에 접속 -&gt; 시스템설정 -&gt; 손실손상함수 이력조회 선택한다.
2. 분야,선택한다.
3. 검색 버튼 클릭한다.</t>
  </si>
  <si>
    <t>1. 풍수해저감종합계획 재해관리 화면에서 순번을 클릭한다.
2. 풍수해저감종합계획 하천재해 수정 화면을 보여준다.
   2-1. 풍수해저감종합계획 하천재해 수정 화면에서 삭제 버튼을 클릭한다.</t>
  </si>
  <si>
    <t>1. 풍수해저감종합계획 재해관리 화면에서 순번을 클릭한다.
2. 풍수해저감종합계획 사면재해 수정 화면을 보여준다.
   2-1. 풍수해저감종합계획 사면재해 수정 화면에서 저장버튼을 클릭한다.</t>
  </si>
  <si>
    <t>1. 관리자 페이지에 접속 -&gt; 관리시스템 -&gt; 조건에서 라이프라인을 선택 -&gt; 조회 버튼을 클릭한다.
2. 입력 버튼 클릭 -&gt; 라이프라인 속성 정보를 입력 -&gt; 저장 버튼을 클릭한다.</t>
  </si>
  <si>
    <t>1. 풍수해저감종합계획 재해관리 화면에서 순번을 클릭한다.
2. 풍수해저감종합계획 토사재해 수정 화면을 보여준다.
   2-1. 풍수해저감종합계획 토사재해 수정 화면에서 저장버튼을 클릭한다.</t>
  </si>
  <si>
    <t>1. 시군구별 면적설정 입력화면을 보여준다.
2. 시군구별 면적설정 정보를 입력한다.
   2-1. 시군구별 면적 정보를 저장한다.
   2-2. 시군구별 면적설정 목록 화면으로 이동한다.</t>
  </si>
  <si>
    <t>1. 풍수해저감종합계획 재해관리 화면에서 순번을 클릭한다.
2. 풍수해저감종합계획 내수재해 수정 화면을 보여준다.
   2-1. 풍수해저감종합계획 내수재해 수정 화면에서 삭제 버튼을 클릭한다.</t>
  </si>
  <si>
    <t>1. 풍수해저감종합계획 재해관리 화면에서 순번을 클릭한다.
2. 풍수해저감종합계획 사면재해 수정 화면을 보여준다.
   2-1. 풍수해저감종합계획 사면재해 수정 화면에서 삭제 버튼을 클릭한다.</t>
  </si>
  <si>
    <t>1. 시군구별 면적설정 수정화면을 보여준다.
2. 시군구별 면적설정 정보를 수정한다.
   2-1. 시군구별 면적 정보를 저장한다.
   2-2. 시군구별 면적설정 목록 화면으로 이동한다.</t>
  </si>
  <si>
    <t>1. 풍수해저감종합계획 재해관리 화면에서 순번을 클릭한다.
2. 풍수해저감종합계획 해안재해 수정 화면을 보여준다.
   2-1. 풍수해저감종합계획 해안재해 수정 화면에서 저장버튼을 클릭한다.</t>
  </si>
  <si>
    <t>1. 풍수해저감종합계획 재해관리 화면에서 순번을 클릭한다.
2. 풍수해저감종합계획 토사재해 수정 화면을 보여준다.
   2-1. 풍수해저감종합계획 토사재해 수정 화면에서 삭제 버튼을 클릭한다.</t>
  </si>
  <si>
    <t>1. 풍수해저감종합계획 재해관리 화면에서 순번을 클릭한다.
2. 풍수해저감종합계획 해안재해 수정 화면을 보여준다.
   2-1. 풍수해저감종합계획 해안재해 수정 화면에서 삭제 버튼을 클릭한다.</t>
  </si>
  <si>
    <t>1. 피해 시설물별 원인 설정 목록에서 해당 지역을 선택한다.
2. 재해유형을 선택한다.
3. 추이 분석기간을 선택한다.
4. 검색 버튼을 클릭하여 피해 시설물별 원인 설정을 조회 한다.</t>
  </si>
  <si>
    <t>1. 풍수해저감종합계획 재해관리 화면에서 순번을 클릭한다.
2. 풍수해저감종합계획 하천재해 수정 화면을 보여준다.
   2-1. 풍수해저감종합계획 하천재해 수정 화면에서 저장버튼을 클릭한다.</t>
  </si>
  <si>
    <t>1. 관리자 페이지에 접속 -&gt; 시스템설정 -&gt; 손실손상함수설정 선택한다.
2. 입력 버튼 클릭 -&gt;  손실손상함수설정 입력 화면에서 내용(침수심, 손상률) 입력 후 저장 버튼을 클릭한다.</t>
  </si>
  <si>
    <t>1. 관리자 페이지에 접속 -&gt; 관리시스템 -&gt; 사용자교육 동영상관리를 선택한다.
2. 등록 버튼 클릭 -&gt;  사용자교육 동영상관리 정보등록 화면에서 내용 입력 후 저장 버튼을 클릭한다.</t>
  </si>
  <si>
    <t>1. 풍수해저감종합계획 재해관리 화면에서 순번을 클릭한다.
2. 풍수해저감종합계획 바람재해 수정 화면을 보여준다.
   2-1. 풍수해저감종합계획 바람재해 수정 화면에서 삭제 버튼을 클릭한다.</t>
  </si>
  <si>
    <t>1. 풍수해저감종합계획 재해관리 화면에서 순번을 클릭한다.
2. 풍수해저감종합계획 바람재해 수정 화면을 보여준다.
   2-1. 풍수해저감종합계획 바람재해 수정 화면에서 저장버튼을 클릭한다.</t>
  </si>
  <si>
    <t>1. 풍수해저감종합계획 재해관리 화면에서 순번을 클릭한다.
2. 풍수해저감종합계획 내수재해 수정 화면을 보여준다.
   2-1. 풍수해저감종합계획 내수재해 수정 화면에서 저장버튼을 클릭한다.</t>
  </si>
  <si>
    <t>1. 피해 시설물별 원인 설정 입력화면을 보여준다.
2. 피해 시설물별 원인 설정 정보를 입력한다.
   2-1. 피해 시설물별 원인 설정 정보를 저장한다.
   2-2. 피해 시설물별 원인 설정 목록 화면으로 이동한다.</t>
  </si>
  <si>
    <t>1. 관리자 페이지에 접속 -&gt; 시스템 설정 -&gt; 피해 시설물별 원인 설정을 선택한다.
2. 지역 선택 -&gt; 설정 버튼을 클릭한다.
3. 공공/사유 시설물에서 시설물 피해액 체크 선택 -&gt; 재해유형에서 재해유형 체크 선택 -&gt; 추이일자 선택   -&gt; 사용여부에서 Yes 또는 No 선택 후 저장 버튼을 클릭한다.</t>
  </si>
  <si>
    <t>1. 피해 시설물별 원인 설정 수정 화면을 보여준다.
2. 피해 시설물별 원인 설정 정보를 수정한다.
   2-1. 피해 시설물별 원인 설정 정보를 저장한다.
   2-2. 피해 시설물별 원인 설정 목록 화면으로 이동한다.</t>
  </si>
  <si>
    <t>1. 피해 시설물별 원인 관리 수정 화면을 보여준다.
2. 피해 시설물별 원인 관리 정보를 수정한다.
   2-1. 피해 시설물별 원인 관리 정보를 저장한다.
   2-2. 피해 시설물별 원인 관리 목록 화면으로 이동한다.</t>
  </si>
  <si>
    <t>사용자 페이지에 접속 -&gt;  의사결정&gt;의사결정지원 메뉴를 선택한다.
지역을 선택한다.
검색 버튼을 클릭한다.
침수흔적도 지구현황을 선택한다.
풍수해 위험지구 보기를 선택한다.
빈도별 범람지도 내수/외수/조위 빈도를 선택한다.</t>
  </si>
  <si>
    <t>1. 시군구별 aws 관측소 설정 입력화면을 보여준다.
2. 시군구별 aws 관측소 정보를 입력한다.
   2-1. 시군구별 aws 관측소 정보를 저장한다.
   2-2. 시군구별 aws 관측소 설정 목록 화면으로 이동한다.</t>
  </si>
  <si>
    <t xml:space="preserve">1. 관리자 페이지에 접속 -&gt; 시스템설정 -&gt; 재난통계 가중치 관리를 선택한다.
2. 지역 선택 -&gt; 시설물종류에서 사유시설 선택 -&gt; 입력 버튼 클릭 
3. 가중치 관리 등록 화면에서 내용 입력 후 저장 버튼을 클릭한다. </t>
  </si>
  <si>
    <t xml:space="preserve">1. 관리자 페이지에 접속 -&gt; 시스템설정 -&gt; 재난통계 가중치 관리를 선택한다.
2. 지역 선택 -&gt; 시설물종류에서 공공시설 선택 -&gt; 입력 버튼 클릭 
3. 가중치 관리 등록 화면에서 내용 입력 후 저장 버튼을 클릭한다. </t>
  </si>
  <si>
    <t>1. FAQ 수정 화면을 보여준다.
2. FAQ 정보를 수정한다.
   2-1. FAQ 목록 화면으로 이동한다.</t>
  </si>
  <si>
    <t>1. 모의 시뮬레이션 -&gt; 과거 피해원인 조회를 선택한다.
2. 지역을 선택한다.
3. 조회버튼을 선택한다.</t>
  </si>
  <si>
    <t>1. FAQ 조회 화면을 보여준다.
2. FAQ 정보를 삭게한다.
   2-1. FAQ 목록 화면으로 이동한다.</t>
  </si>
  <si>
    <t>1. 외부범람도관리 -&gt; 외수범람지도관리를 선택한다
2. 지역을 선택한다.
3. 빈도를 선택한다.
4. 검색 버튼을 클릭한다.</t>
  </si>
  <si>
    <t>1. 외부범람도관리 -&gt; 내수범람지도관리를 선택한다
2. 지역을 선택한다.
3. 빈도를 선택한다.
4. 검색 버튼을 클릭한다.</t>
  </si>
  <si>
    <t>CCD-NEMA-036</t>
  </si>
  <si>
    <t>재해예방사업 타당성검토지원</t>
  </si>
  <si>
    <t>UTS-NEMA-030</t>
  </si>
  <si>
    <t>UC-NEMA-028-01</t>
  </si>
  <si>
    <t>UC-NEMA-006-02</t>
  </si>
  <si>
    <t>M-NEMA-05-02-01</t>
  </si>
  <si>
    <t>PRG-NEMA-042</t>
  </si>
  <si>
    <t>UTS-NEMA-052</t>
  </si>
  <si>
    <t>M-NEMA-11-03-01</t>
  </si>
  <si>
    <t>외수 재해지도 파일 입력</t>
  </si>
  <si>
    <t>PRG-NEMA-050</t>
  </si>
  <si>
    <t>UC-NEMA-033-02</t>
  </si>
  <si>
    <t>PRG-NEMA-039</t>
  </si>
  <si>
    <t>시군구별 aws 관측소 정보</t>
  </si>
  <si>
    <t>UTS-NEMA-022</t>
  </si>
  <si>
    <t>UC-NEMA-007-01</t>
  </si>
  <si>
    <t>UC-NEMA-016-01</t>
  </si>
  <si>
    <t>M-NEMA-11-09-01</t>
  </si>
  <si>
    <t>UTS-NEMA-060</t>
  </si>
  <si>
    <t>PRG-NEMA-037</t>
  </si>
  <si>
    <t>UTS-NEMA-033</t>
  </si>
  <si>
    <t>1. 모의 시뮬레이션 -&gt; 풍수해저감종합계획 재해관리를 선택한다.
2. 입력 버튼 클릭 -&gt;  풍수해저감종합계획 토사재해 입력  화면에서 내용 입력 후 저장 버튼을 클릭한다.</t>
  </si>
  <si>
    <t>1. 관리자 페이지에 접속 -&gt; 관리시스템 -&gt; 시군구별 총강우량 관리를 선택한다.
2. 입력 버튼 클릭 -&gt;  총강우량 정보등록 화면에서 내용 입력 후 저장 버튼을 클릭한다.</t>
  </si>
  <si>
    <t>1. 모의 시뮬레이션 -&gt; 풍수해저감종합계획 재해관리를 선택한다.
2. 입력 버튼 클릭 -&gt;  풍수해저감종합계획 내수재해 입력  화면에서 내용 입력 후 저장 버튼을 클릭한다.</t>
  </si>
  <si>
    <t>1. 관리자 페이지에 접속 -&gt; 관리시스템 -&gt; 조건에서 인구를 선택 -&gt; 조회 버튼을 클릭한다.
2. 입력 버튼 클릭 -&gt; 인구 속성 정보를 입력 -&gt; 저장 버튼을 클릭한다.</t>
  </si>
  <si>
    <t>1. 관리자 페이지에 접속 -&gt; 관리시스템 -&gt; 조건에서 차량을 선택 -&gt; 조회 버튼을 클릭한다.
2. 입력 버튼 클릭 -&gt; 하천 속성 정보를 입력 -&gt; 저장 버튼을 클릭한다.</t>
  </si>
  <si>
    <t>1. 모의 시뮬레이션 -&gt; 풍수해저감종합계획 재해관리를 선택한다.
2. 입력 버튼 클릭 -&gt;  풍수해저감종합계획 하천재해 입력  화면에서 내용 입력 후 저장 버튼을 클릭한다.</t>
  </si>
  <si>
    <t>1. 모의 시뮬레이션 -&gt; 풍수해저감종합계획 재해관리를 선택한다.
2. 입력 버튼 클릭 -&gt;  풍수해저감종합계획 해안재해 입력  화면에서 내용 입력 후 저장 버튼을 클릭한다.</t>
  </si>
  <si>
    <t>1. 모의 시뮬레이션 -&gt; 풍수해저감종합계획 재해관리를 선택한다.
2. 입력 버튼 클릭 -&gt;  풍수해저감종합계획 바람재해 입력  화면에서 내용 입력 후 저장 버튼을 클릭한다.</t>
  </si>
  <si>
    <t>1. 관리자 페이지에 접속 -&gt; 관리시스템 -&gt; 조건에서 농경지 선택 -&gt; 조회 버튼을 클릭한다.
2. 입력 버튼 클릭 -&gt; 농경지 속성 정보를 입력 -&gt; 저장 버튼을 클릭한다.</t>
  </si>
  <si>
    <t>1. 모의 시뮬레이션 -&gt; 풍수해저감종합계획 재해관리를 선택한다.
2. 입력 버튼 클릭 -&gt;  풍수해저감종합계획 사면재해 입력  화면에서 내용 입력 후 저장 버튼을 클릭한다.</t>
  </si>
  <si>
    <t>1. 관리자 페이지에 접속 -&gt; 관리시스템 -&gt; 조건에서 하천을 선택 -&gt; 조회 버튼을 클릭한다.
2. 입력 버튼 클릭 -&gt; 하천 속성 정보를 입력 -&gt; 저장 버튼을 클릭한다.</t>
  </si>
  <si>
    <t>1. 관리자 페이지에 접속 -&gt; 시스템설정 -&gt; 손실손상함수설정 선택한다.
2. 입력 버튼 클릭 -&gt;  손실손상함수설정 입력 화면에서 (손상률) 입력 후 저장 버튼을 클릭한다.</t>
  </si>
  <si>
    <t>과거 침수흔적도, 다양한 예측지도를 중첩하고 사용자가 직접 관심지역을 원형으로 설정하여 해당 지역의 위험등급을 자동 분석, 표출하고 그 지역의 취약인구 정보 등을 확인하는 기능</t>
  </si>
  <si>
    <t>1. 사용자 교육 동영상 조회 화면에서 수정버튼을 클릭한다.
2. 사용자 교육 동영상 수정 화면을 보여준다.
   2-1. 사용자 교육 동영상 수정 화면에서 저장버튼을 클릭한다.</t>
  </si>
  <si>
    <t>1. 관리자 페이지에 접속 -&gt; 관리시스템 -&gt; 조건에서 교통을 선택 -&gt; 조회 버튼을 클릭한다.
2. 입력 버튼 클릭 -&gt; 하천 속성 정보를 입력 -&gt; 저장 버튼을 클릭한다.</t>
  </si>
  <si>
    <t>사용자 페이지에 접속 -&gt;  의사결정&gt;의사결정지원 메뉴를 선택한다.
지자체 별 관심시점의 수정 버튼을 클릭한다.
수정 후, 완료 버튼을 클릭한다.</t>
  </si>
  <si>
    <t>1. 시군구별/일자별 강우정보 맵핑 목록화면에서 관측소명을 클릭한다.
2. 일 누적강우, 시간 누적강우 정보를 수정한다.
3. 수정버튼을 클릭한다.</t>
  </si>
  <si>
    <t>1. 다변량 피해함수 설정 수정 화면을 보여준다.
2. 다변량 피해함수 정보를 삭제한다.
   2-1. 다변량 피해함수 설정 목록 화면으로 이동한다.</t>
  </si>
  <si>
    <t>1. 재난통계 가중치 관리 수정 화면을 보여준다.
2. 재난통계 가중치 정보를 삭제한다.
   2-1. 재난통계 가중치 관리 목록 화면으로 이동한다.</t>
  </si>
  <si>
    <t>1. 외부범람도관리 -&gt; 외수범람지도관리를 선택한다
2. 상세보기 클릭후 상세보기에 삭제 버튼 클릭한다.
3. 리스트에서 삭제된 내용을 확인하다.</t>
  </si>
  <si>
    <t>1. 관리자 페이지에 접속 -&gt; 관리시스템 -&gt; 조건에서 농경지를 선택 -&gt; 조회 버튼을 클릭한다.
2. 피해목적물관리(농경지) 목록을 조회한다.</t>
  </si>
  <si>
    <t>침수흔적도 지구현황 목록이 조회된다.
선택한 침수흔적도가 지도에 조회된다.
풍수해 위험지구가 지도에 조회된다.
빈도별 범람지도가 지도에 조회된다.</t>
  </si>
  <si>
    <t>1. 관리자 페이지 접속 -&gt; 시스템설정 -&gt; 위험등급설정 선택한다.  2. 위험등급 추가 -&gt; 추가할 위험등급과 수심을 입력후 추가버튼을 누른다.</t>
  </si>
  <si>
    <t>1. 사용자 교육 동영상 수정 화면을 보여준다.
2. 사용자 교육 동영상 정보를 수정한다.
   2-1. 사용자 교육 동영상 목록 화면으로 이동한다.</t>
  </si>
  <si>
    <t>1. 관리자 페이지에 접속 -&gt; 시스템설정 -&gt; 손실손상함수 이력조회 선택한다.
2. 분야, 항목, 속성을 선택한다.
3. 검색 버튼 클릭한다.</t>
  </si>
  <si>
    <t>1. 사용자아이디 로그인 -&gt; 재난통계 선택 -&gt; 과거피해이력 추이분석 선택
2. 추이분석기간 선택 
3. 재해명(피해원인) 입력
4. 검색버튼 클릭</t>
  </si>
  <si>
    <t>1. 외부범람도관리 -&gt; 내수범람지도관리를 선택한다
2. 상세보기 클릭후 상세보기에 삭제 버튼 클릭한다.
3. 리스트에서 삭제된 내용을 확인하다.</t>
  </si>
  <si>
    <t>1. 사용자 교육 동영상 조회 화면을 보여준다.
2. 사용자 교육 동영상 정보를 삭게한다.
   2-1. 사용자 교육 동영상 목록 화면으로 이동한다.</t>
  </si>
  <si>
    <t>외부 범람도 결과물 입력</t>
  </si>
  <si>
    <t>PRG-NEMA-008</t>
  </si>
  <si>
    <t>UC-NEMA-028-03</t>
  </si>
  <si>
    <t>자료수집계획현황 게시판</t>
  </si>
  <si>
    <t>UC-NEMA-032-01</t>
  </si>
  <si>
    <t>빈도별 재해지도 표출 기능</t>
  </si>
  <si>
    <t>UC-NEMA-019-01</t>
  </si>
  <si>
    <t>상황전파메세지 전송설정 입력</t>
  </si>
  <si>
    <t>1. FAQ 조회 화면에서 삭제버튼을 클릭한다.
2. 삭제 확인 메세지를 보여준다.
   2-1. FAQ 삭제 버튼을 클릭한다.</t>
  </si>
  <si>
    <t>1. development_damage_analysis 함수 파라미터에 시험 데이터 값을 넣는다.
2. 함수를 실행한다.</t>
  </si>
  <si>
    <t>1. 호우 사전피해예측지도 입력
2. 라이프라인 피해목적물 피해액 분석
3. 라이프라인 피해목적물 피해액 결과값 생성</t>
  </si>
  <si>
    <t>1. 사용자아이디 로그인 -&gt; 재난통계 선택 -&gt; 과거피해이력 추이분석 선택
2. 추이분석기간 선택 
3. 검색버튼 클릭</t>
  </si>
  <si>
    <t>침수심이 반영된 SHP 형태의 지도를 활용하기 위한 기능
이며 범람도내의 피해목적물 표출하여 피해 추정액을 구하기 위함</t>
  </si>
  <si>
    <t xml:space="preserve">1. 공통상세코드 목록을 보여준다.
2. 공통상세코드 입력화면을 보야준다.
   2-1. 공통상세코드 정보를 저장한다.
</t>
  </si>
  <si>
    <t>1. 관리자페이지 접속 -&gt; 시스템 설정 -&gt; 상황전파 메시지 전송설정 -&gt; 상황전파 정책입력에 추가할 정보를 입력한다.</t>
  </si>
  <si>
    <t>1. 시군구별 총 강우량 관리 조회 화면에서 삭제버튼을 클릭한다.
2. 시군구별 총 강우량 관리 삭제 버튼을 클릭한다.</t>
  </si>
  <si>
    <t>호우피해예측 시간대별 침수예상지도 지리원 전송 SHP 파일 저장</t>
  </si>
  <si>
    <t xml:space="preserve">1. 과거 모의시뮬레이션 관리
2. 피해목적물 체크박스 선택
</t>
  </si>
  <si>
    <t>1.읍면동을 선택하면 피해목적물별 피해물량/피해금액을 표출한다.</t>
  </si>
  <si>
    <t>1.팝업에서 분석된 총 누적강우 및 최대강우 데이터를 확인한다.</t>
  </si>
  <si>
    <t>재해예방사업 피해 분석 전/후 결과 표출
재해예방사업 피해 분석</t>
  </si>
  <si>
    <t>1. 모의시뮬레이션 관리
2. 상세보기에 요청상태버튼 클릭</t>
  </si>
  <si>
    <t>1. 보고서 출력
2. 배포판 시스템에 표출된 보고서와 비교</t>
  </si>
  <si>
    <t>시군구별 관측강우 및 예측강우 7일치 총 강우량 생성 테이블</t>
  </si>
  <si>
    <t>풍수해저감종합계획 사업타당성 검토를 통한 저감사업 우선순위 수정</t>
  </si>
  <si>
    <t>차량 피해목적물(인벤토리) Web Service 연계 파일 생성</t>
  </si>
  <si>
    <t>기초자료 세트(ZIP) 이력 조회(토지피복도, DEM, 토양도)</t>
  </si>
  <si>
    <t>상용 침수 해석 모형 분석결과 GIS 공간데이터 관리기능 개발</t>
  </si>
  <si>
    <t>호우피해 예측 현황
방재자원 자료 조회
예경보 시설 자료 조회</t>
  </si>
  <si>
    <t>수문기상기반 호우 사전피해예측 기능 전국 확대 및 추가 개발</t>
  </si>
  <si>
    <t>1. 바이너리 파일이 생성되었는지 확인한다.(탐색기 확인)</t>
  </si>
  <si>
    <t>기초자료 세트(ZIP) 입력(토지피복도, DEM, 토양도)</t>
  </si>
  <si>
    <t>풍수해저감종합계획 사업타당성 검토를 통한 저감사업 우선순위 조회</t>
  </si>
  <si>
    <t>2. 초단기 예측강우 수신현황 월별 카운터 정보를 보여준다.</t>
  </si>
  <si>
    <t>시군구별 관측강우 및 예측강우 7일치 총 강우량 생성 이력조회</t>
  </si>
  <si>
    <t>피해목적물(인벤토리) Web Service 정보를 관리 한다.</t>
  </si>
  <si>
    <t>관측소별 시간별(1, 3, 6, 12, 24시간) 수위 추이분석</t>
  </si>
  <si>
    <t>하천 피해목적물(인벤토리) Web Service 연계 파일 생성</t>
  </si>
  <si>
    <t>사용자가 손실·손상함수 수정 및 적용 등 개인 활용기능 개발</t>
  </si>
  <si>
    <t>M-NEMA-03-03-01
M-NEMA-12-01-01</t>
  </si>
  <si>
    <t>시군구별 관측강우 및 예측강우 7일치 총 강우량 생성 입력</t>
  </si>
  <si>
    <t>범람도 관리 목록이 조회된다.
범람도 관리 상세화면이 조회된다.</t>
  </si>
  <si>
    <t>위험 등급 리스트에서 해당 등급의 이력보기 버튼을 클릭한다.</t>
  </si>
  <si>
    <t>풍수해저감종합계획 사업타당성 검토를 통한 저감사업 우선순위 설정</t>
  </si>
  <si>
    <t xml:space="preserve">침수심이반영된SHP형태의등록되어진공간정보데이터지도침수심표출 </t>
  </si>
  <si>
    <t>풍수해저감종합계획 사업타당성 검토를 통한 저감사업 우선순위 삭제</t>
  </si>
  <si>
    <t>시군구별 표준유역강우 면적비/최대치 설정 정보를 관리 한다.</t>
  </si>
  <si>
    <t>초단기 예측 강우 자료 일별 수신 현황 정보를 관리 한다.</t>
  </si>
  <si>
    <t>시나리오 기반(빈도별 재해지도) 호우 사전피해예측 기능 보강</t>
  </si>
  <si>
    <t>교통 피해목적물(인벤토리) 개별 피해액산정 정보를 관리 한다.</t>
  </si>
  <si>
    <t>1. 삭제 된 내용을 모의시뮬레이션 관리 목록에 없는지 확인</t>
  </si>
  <si>
    <t>인구 피해목적물(인벤토리) Web Service 연계 파일 생성</t>
  </si>
  <si>
    <t>UTS-NEMA-082</t>
  </si>
  <si>
    <t>PRG-NEMA-045</t>
  </si>
  <si>
    <t>UTS-NEMA-039</t>
  </si>
  <si>
    <t>외부 범람도 결과물 조회</t>
  </si>
  <si>
    <t>PRG-NEMA-071</t>
  </si>
  <si>
    <t>CCD-NEMA-044</t>
  </si>
  <si>
    <t>VIQ-NEMA-014</t>
  </si>
  <si>
    <t>UTS-NEMA-008</t>
  </si>
  <si>
    <t>UTS-NEMA-069</t>
  </si>
  <si>
    <t>침수심이 반영된 SHP형태의 공간정보 데이터 조회</t>
  </si>
  <si>
    <t>호우 피해예측 기반 의사결정지원 기능 신규 개발</t>
  </si>
  <si>
    <t>호우사전피해예측 범위 내 피해시설물 지도표출</t>
  </si>
  <si>
    <t>시군별 사유시설(10종) 피해액 가중치 입력</t>
  </si>
  <si>
    <t>시군구(읍면동)별 강우조건별 피해추이 차트표출</t>
  </si>
  <si>
    <t>사용자 농경지 피해목적물(인벤토리) 속성정보 입력</t>
  </si>
  <si>
    <t>건물 피해목적물 피해액 산정 결과 테이블 확인</t>
  </si>
  <si>
    <t>VIQ-NEMA-004
VIQ-NEMA-011</t>
  </si>
  <si>
    <t>사용자 라이프라인 손실손상함수 속성정보 이력조회</t>
  </si>
  <si>
    <t>1. 내수 재해지도 이력 리스트를 보여준다.</t>
  </si>
  <si>
    <t>1. 자료수집계획현황테이블 데이터 등록/수정/삭제</t>
  </si>
  <si>
    <t>예측 유역 강우 정보를 관리하고 표출 한다.</t>
  </si>
  <si>
    <t>시군구(읍면동)별 특정 재해별 피해원인 차트표출</t>
  </si>
  <si>
    <t>라이프라인 피해목적물(인벤토리) 개별 피해액산정</t>
  </si>
  <si>
    <t>시군별 공공시설(13종) 피해액 가중치 삭제</t>
  </si>
  <si>
    <t>사용자 인구 피해목적물(인벤토리) 속성정보 조회</t>
  </si>
  <si>
    <t>피해목적물(인벤토리) 피해 분석 결과 테이블</t>
  </si>
  <si>
    <t>인구 피해목적물(인벤토리) 피해액 분석 결과 입력</t>
  </si>
  <si>
    <t>호우피해예측 시간대별 데이터 지리원 전송 관리</t>
  </si>
  <si>
    <t>하천 피해목적물 피해액 산정 결과 테이블 확인</t>
  </si>
  <si>
    <t xml:space="preserve">피해목적물 확대에 따른 사전피해예측 기능 보강 </t>
  </si>
  <si>
    <t>외부범람도를 이용한 모의 시뮬레이션 기능 개발</t>
  </si>
  <si>
    <t>라이프라인 피해목적물 피해액 산정 결과 파일 확인</t>
  </si>
  <si>
    <t>시군별 사유시설(10종) 피해액 가중치 수정</t>
  </si>
  <si>
    <t>호우사전피해분석
피해시설물(인벤토리) 피해액 표출</t>
  </si>
  <si>
    <t>호우 사전피해예측지도 테이블(10m*10m)</t>
  </si>
  <si>
    <t>시군구(읍면동)별 피해원인별 피해시설물 지도표출</t>
  </si>
  <si>
    <t>VIQ-NEMA-011
VIQ-NEMA-013</t>
  </si>
  <si>
    <t>시군구(읍면동)별/재해일자별 총 누적강우 생성</t>
  </si>
  <si>
    <t>초단기 예측 강우 연계 파일 파싱 결과 테이블</t>
  </si>
  <si>
    <t>사용자 하천 피해목적물(인벤토리) 속성정보 삭제</t>
  </si>
  <si>
    <t>시군구(읍면동)별 기간조건별 피해추이 차트표출</t>
  </si>
  <si>
    <t>시군구별 특정 재해별 피해원인 차트 표출한다.</t>
  </si>
  <si>
    <t>침수심이 반영된 SHP형태의 공간정보 데이터 삭제</t>
  </si>
  <si>
    <t>초단기 예측 강우 자료 월별 수신 현황 테이블</t>
  </si>
  <si>
    <t>시군구(읍면동)별 특정 재해별 피해추이 차트표출</t>
  </si>
  <si>
    <t>하천 피해목적물(인벤토리) Web Service</t>
  </si>
  <si>
    <t>하천별(국가/지방/소하천) 과거 피해예측 결과조회</t>
  </si>
  <si>
    <t>상세화면에서 "레포트 보기" 버튼을 클릭한다.</t>
  </si>
  <si>
    <t>사용자 하천 피해목적물(인벤토리) 속성정보 조회</t>
  </si>
  <si>
    <t>1. 외수 재해지도 이력 리스트를 보여준다.</t>
  </si>
  <si>
    <t>농작물 피해목적물(인벤토리) Web Service</t>
  </si>
  <si>
    <t>사용자 교통 피해목적물(인벤토리) 속성정보 테이블</t>
  </si>
  <si>
    <t>인구 피해목적물 피해액 산정 결과 테이블 확인</t>
  </si>
  <si>
    <t>사용자 건물 피해목적물(인벤토리) 속성정보 입력</t>
  </si>
  <si>
    <t>농경지 피해목적물 피해액 산정 결과 테이블 확인</t>
  </si>
  <si>
    <t>시군구(읍면동)별 기간조건별 피해시설물 지도표출</t>
  </si>
  <si>
    <t>농작물 피해목적물 피해액 산정 결과 테이블 확인</t>
  </si>
  <si>
    <t>재난통계 과거피해이력 추이분석
Zoning 설정</t>
  </si>
  <si>
    <t>호우사전피해결과 및 시나리오기반 피해결과 조회</t>
  </si>
  <si>
    <t>침수심이 반영된 SHP형태의 공간정보 데이터 입력</t>
  </si>
  <si>
    <t>VIQ-NEMA-005
VIQ-NEMA-012</t>
  </si>
  <si>
    <t>하천 피해목적물(인벤토리) 피해액 분석 결과 입력</t>
  </si>
  <si>
    <t>교통(철도) 피해목적물(인벤토리) 지도 표출</t>
  </si>
  <si>
    <t>시군구별 관측/예측 강우 7일치 총 강우량  관리</t>
  </si>
  <si>
    <t>시군별 공공시설(13종) 피해액 가중치 입력</t>
  </si>
  <si>
    <t>사용자 농경지 피해목적물(인벤토리) 속성정보 삭제</t>
  </si>
  <si>
    <t>VIQ-NEMA-015
VIQ-NEMA-021</t>
  </si>
  <si>
    <t>사용자 건물 피해목적물(인벤토리) 속성정보 수정</t>
  </si>
  <si>
    <t xml:space="preserve">1~6시간지역/피해액/피해목적물별비교분석차트 </t>
  </si>
  <si>
    <t>예측 유역 강우 통계 테이블 속성 추가(고도화)</t>
  </si>
  <si>
    <t>사용자 하천 피해목적물(인벤토리) 속성정보 수정</t>
  </si>
  <si>
    <t>해안(조위)범람지도
외수범람지도
내수범람지도</t>
  </si>
  <si>
    <t>시군별 사유시설(10종) 피해액 가중치 삭제</t>
  </si>
  <si>
    <t>교통 피해목적물 피해액 산정 결과 테이블 확인</t>
  </si>
  <si>
    <t>호우피해예측 시간대별 침수예상지도 지리원 전송</t>
  </si>
  <si>
    <t>사용자 차량 피해목적물(인벤토리) 속성정보 입력</t>
  </si>
  <si>
    <t>관측 유역 강우 통계 테이블 속성 추가(고도화)</t>
  </si>
  <si>
    <t>1. 처음 접속한 관리자 계정의 세션을 종료한다.</t>
  </si>
  <si>
    <t>하천 피해목적물 피해액 산정 결과 화면 확인</t>
  </si>
  <si>
    <t>교통 피해목적물(인벤토리) 피해액 분석 결과 입력</t>
  </si>
  <si>
    <t>사용자 교육 동영상
사용자 교육 동영상 관리</t>
  </si>
  <si>
    <t>호우피해 예측 현황
내수/외수/조위 범람도 조회</t>
  </si>
  <si>
    <t>시군구(읍면동)별 기간조건별 피해원인 지도표출</t>
  </si>
  <si>
    <t>사용자 농작물 손실손상함수 속성정보 이력조회</t>
  </si>
  <si>
    <t>사용자 차량 피해목적물(인벤토리) 속성정보 테이블</t>
  </si>
  <si>
    <t>농작물 피해목적물(인벤토리) 개별 피해액산정</t>
  </si>
  <si>
    <t>VIQ-NEMA-036
VIQ-NEMA-024</t>
  </si>
  <si>
    <t>호우 사전피해예측 분석 부하분산 모니터링기능</t>
  </si>
  <si>
    <t>사용자 건물 피해목적물(인벤토리) 속성정보 테이블</t>
  </si>
  <si>
    <t>차량 피해목적물 피해액 산정 결과 테이블 확인</t>
  </si>
  <si>
    <t>사용자 농작물 피해목적물(인벤토리) 속성정보 입력</t>
  </si>
  <si>
    <t>호우 사전피해예측 기능 전국기반 서비스 확대</t>
  </si>
  <si>
    <t>소하천 유역별 관측 및 예측강우 상세정보 제공</t>
  </si>
  <si>
    <t>건물 피해목적물 피해액 산정 결과 파일 확인</t>
  </si>
  <si>
    <t>사용자 농경지 피해목적물(인벤토리) 속성정보 조회</t>
  </si>
  <si>
    <t>농경지 피해목적물 피해액 산정 결과 파일 확인</t>
  </si>
  <si>
    <t>사용자 농작물 피해목적물(인벤토리) 속성정보 삭제</t>
  </si>
  <si>
    <t>사용자 라이프라인 손실손상함수 속성정보 테이블</t>
  </si>
  <si>
    <t>VIQ-NEMA-023
VIQ-NEMA-036</t>
  </si>
  <si>
    <t>차량 피해목적물 피해액 산정 결과 파일 확인</t>
  </si>
  <si>
    <t>시군구(읍면동)별 강우조건별 피해시설물 지도표출</t>
  </si>
  <si>
    <t>시군구별 표준유역강우 면적비/최대치 설정 삭제</t>
  </si>
  <si>
    <t>사용자 하천 피해목적물(인벤토리) 속성정보 입력</t>
  </si>
  <si>
    <t>한국토지정보시스템(KLIS) 지번 POI 테이블</t>
  </si>
  <si>
    <t>차량 피해목적물(인벤토리) 피해액 분석 결과 입력</t>
  </si>
  <si>
    <t>사용자 농경지 피해목적물(인벤토리) 속성정보 수정</t>
  </si>
  <si>
    <t>사용자 건물 손실손상함수 속성정보를 관리 한다.</t>
  </si>
  <si>
    <t>사용자 교통 피해목적물(인벤토리) 속성정보 입력</t>
  </si>
  <si>
    <t>사용자 라이프라인 손실손상함수 속성정보 삭제</t>
  </si>
  <si>
    <t>사용자 하천시설 손실손상함수 속성정보 테이블</t>
  </si>
  <si>
    <t>빈도별 유사 재해 지도 정보를 검색, 조회 한다.</t>
  </si>
  <si>
    <t>사용자 차량 피해목적물(인벤토리) 속성정보 삭제</t>
  </si>
  <si>
    <t>사용자 건물 피해목적물(인벤토리) 속성정보 조회</t>
  </si>
  <si>
    <t>차량 피해목적물(인벤토리) Web Service</t>
  </si>
  <si>
    <t>VIQ-NEMA-020
VIQ-NEMA-037</t>
  </si>
  <si>
    <t>사용자 인구 피해목적물(인벤토리) 속성정보 테이블</t>
  </si>
  <si>
    <t>시군구별 추이분석기간 정보 / 강우조건 선택</t>
  </si>
  <si>
    <t>피해목적물별 피해액 비교 표출 정보가 조회된다.</t>
  </si>
  <si>
    <t>시군구(읍면동)별/일자별 강우정보 맵핑 테이블</t>
  </si>
  <si>
    <t>시군구(읍면동)별 강우조건별 피해원인 지도표출</t>
  </si>
  <si>
    <t>인벤토리설정
피해목적물(인벤토리) 속성 설정</t>
  </si>
  <si>
    <t>사용자 인구 피해목적물(인벤토리) 속성정보 수정</t>
  </si>
  <si>
    <t>시군구(읍면동)별/일자별 강우정보 맵핑 삭제</t>
  </si>
  <si>
    <t>침수심이 반영된 SHP형태 공간정보 데이터 관리</t>
  </si>
  <si>
    <t>사용자 농작물 피해목적물(인벤토리) 속성정보 조회</t>
  </si>
  <si>
    <t>해안(조위) 재해지도 파일 정보를 관리 한다.</t>
  </si>
  <si>
    <t>사용자 하천시설 손실손상함수 속성정보 이력조회</t>
  </si>
  <si>
    <t>관측 유역 강우 정보를 관리하고 표출 한다.</t>
  </si>
  <si>
    <t>시군구(읍면동)별/일자별 강우정보 맵핑 수정</t>
  </si>
  <si>
    <t>상황전파메신저
피해예측결과로그
상황전파 메신저</t>
  </si>
  <si>
    <t>초단기 예측 강우 연계 파일 파싱 결과 생성</t>
  </si>
  <si>
    <t>시군구(읍면동)별 특정 재해별 피해원인 지도표출</t>
  </si>
  <si>
    <t>사용자 인구 피해목적물(인벤토리) 속성정보 입력</t>
  </si>
  <si>
    <t>재해예방사업 전/후 외부 범람도 결과물 입력</t>
  </si>
  <si>
    <t>차량 피해목적물 피해액 산정 결과 화면 확인</t>
  </si>
  <si>
    <t>시군구(읍면동)별 AWS 관측소 설정 테이블</t>
  </si>
  <si>
    <t>사용자 건물 피해목적물(인벤토리) 속성정보 삭제</t>
  </si>
  <si>
    <t>하천 피해목적물 피해액 산정 결과 파일 확인</t>
  </si>
  <si>
    <t>농작물 피해목적물 피해액 산정 결과 파일 확인</t>
  </si>
  <si>
    <t>1. 자료수집계획현황 테이블 데이터를 확인한다.</t>
  </si>
  <si>
    <t>시군별 공공시설(13종) 피해액 가중치 조회</t>
  </si>
  <si>
    <t>라이프라인 피해목적물 피해액 산정 결과 화면 확인</t>
  </si>
  <si>
    <t>시군별 공공시설(13종) 피해액 가중치 테이블</t>
  </si>
  <si>
    <t>사용자 차량 피해목적물(인벤토리) 속성정보 조회</t>
  </si>
  <si>
    <t>시군구(읍면동)별 강우조건별 피해원인 차트표출</t>
  </si>
  <si>
    <t>사용자 차량 피해목적물(인벤토리) 속성정보 수정</t>
  </si>
  <si>
    <t>1. 위험등급 분석 결과 리스트를 보여준다.</t>
  </si>
  <si>
    <t>VIQ-NEMA-005
VIQ-NEMA-039</t>
  </si>
  <si>
    <t>농작물 피해목적물 피해액 산정 결과 화면 확인</t>
  </si>
  <si>
    <t>VIQ-NEMA-045
VIQ-NEMA-046</t>
  </si>
  <si>
    <t>피해목적물 Web Service 연계 파일 생성</t>
  </si>
  <si>
    <t>침수심이 반영된 SHP형태의 공간정보 데이터 수정</t>
  </si>
  <si>
    <t>사용자 교통시설 손실손상함수 속성정보 이력조회</t>
  </si>
  <si>
    <t>사용자 교통 피해목적물(인벤토리) 속성정보 삭제</t>
  </si>
  <si>
    <t>인구 피해목적물(인벤토리) Web Service</t>
  </si>
  <si>
    <t>과거 모의 시뮬레이션 강우/하천/피해금액 조회</t>
  </si>
  <si>
    <t>인구 피해목적물 피해액 산정 결과 화면 확인</t>
  </si>
  <si>
    <t>시군별 사유시설(10종) 피해액 가중치 테이블</t>
  </si>
  <si>
    <t>교통 피해목적물 피해액 산정 결과 파일 확인</t>
  </si>
  <si>
    <t>피해목적물별 피해물량 비교 표출 정보가 조회된다.</t>
  </si>
  <si>
    <t>시군구별 기간조건별 피해 원인을 차트 표출한다.</t>
  </si>
  <si>
    <t>시군구별 표준유역강우 면적비/최대치 설정 입력</t>
  </si>
  <si>
    <t>사용자 농경지 손실손상함수 속성정보 이력조회</t>
  </si>
  <si>
    <t>시군구(읍면동)별/재해일자별 강우정보 테이블</t>
  </si>
  <si>
    <t>지자체 별 관심지점이 삭제되고 목록에서 없어진다.</t>
  </si>
  <si>
    <t>1. 과거 분석 결과 이력 목록을 표출한다.</t>
  </si>
  <si>
    <t>범람도 관리 상세화면에서 삭제 버튼을 클릭한다.</t>
  </si>
  <si>
    <t>사용자 교통시설 손실손상함수 속성정보 테이블</t>
  </si>
  <si>
    <t>시군구(읍면동)별 기간조건별 피해원인 차트표출</t>
  </si>
  <si>
    <t>시군별 공공시설(13종) 피해액 가중치 수정</t>
  </si>
  <si>
    <t>시군구별 다변량 피해함수 설정을 관리 한다.</t>
  </si>
  <si>
    <t>신규 빈도별 풍수해 예측지도 생성 이력 테이블</t>
  </si>
  <si>
    <t>NDMS 재해대장 피해시설물별 POI 테이블</t>
  </si>
  <si>
    <t>시군구별 표준유역강우 면적비/최대치 설정 수정</t>
  </si>
  <si>
    <t>사용자 교통 피해목적물(인벤토리) 속성정보 조회</t>
  </si>
  <si>
    <t>초단기 예측 강우 연계 파일 파싱 결과 DB 입력</t>
  </si>
  <si>
    <t>사용자 교통 피해목적물(인벤토리) 속성정보 수정</t>
  </si>
  <si>
    <t>시군구별 수위, 유량 관측정보 조회 기능 보강</t>
  </si>
  <si>
    <t>인구 피해목적물 피해액 산정 결과 파일 확인</t>
  </si>
  <si>
    <t>사용자 라이프라인 손실손상함수 속성정보 조회</t>
  </si>
  <si>
    <t>사용자 라이프라인 손실손상함수 속성정보 입력</t>
  </si>
  <si>
    <t>시군구(읍면동)별 피해원인별 피해추이 차트표출</t>
  </si>
  <si>
    <t>교통 피해목적물 피해액 산정 결과 화면 확인</t>
  </si>
  <si>
    <t>시군구별 표준유역강우 면적비/최대치 설정 조회</t>
  </si>
  <si>
    <t>초단기 예측 강우 자료 일별 수신 현황 표출</t>
  </si>
  <si>
    <t>시군구별 강우조건별 피해원인을 차트 표출한다.</t>
  </si>
  <si>
    <t>건물 피해목적물(인벤토리) 피해액 분석 결과 입력</t>
  </si>
  <si>
    <t>사용자 라이프라인 손실손상함수 속성정보 수정</t>
  </si>
  <si>
    <t>다변량 호우피해분석 공공/사유시설 가중치 관리</t>
  </si>
  <si>
    <t>1. 1~6시간 침수심별 침수예상도를 보여준다.</t>
  </si>
  <si>
    <t>피해목적물(인벤토리) 과거 피해예측 결과조회</t>
  </si>
  <si>
    <t>지자체 별 관심지점이 등록되고 목록에서 조회된다.</t>
  </si>
  <si>
    <t>1., 각 예측별, 관리자별 전송설정을 보여준다.</t>
  </si>
  <si>
    <t>시군별 사유시설(10종) 피해액 가중치 조회</t>
  </si>
  <si>
    <t>IDMS(피해목적물(인벤토리) 서비스 기능)</t>
  </si>
  <si>
    <t>사용자 인구 피해목적물(인벤토리) 속성정보 삭제</t>
  </si>
  <si>
    <t>사용자 농작물 피해목적물(인벤토리) 속성정보 수정</t>
  </si>
  <si>
    <t>시군구(읍면동)별/일자별 강우정보 맵핑 생성</t>
  </si>
  <si>
    <t>시군구별 추이분석기간 정보 / 재해원인 선택</t>
  </si>
  <si>
    <t>시군구(읍면동)별 특정 재해별 피해시설물 지도표출</t>
  </si>
  <si>
    <t>관측소별 시간별 수위/유량 목록을 조회한다.</t>
  </si>
  <si>
    <t>시군구별 표준유역강우 면적비/최대치 설정 테이블</t>
  </si>
  <si>
    <t>초단기 예측 강우 자료 월별 수신 현황 통계 표출</t>
  </si>
  <si>
    <t>풍수해저감종합계획상의 사업과 과거피해원인 매핑</t>
  </si>
  <si>
    <t>사용자 하천 피해목적물(인벤토리) 속성정보 테이블</t>
  </si>
  <si>
    <t>VIQ-NEMA-032
VIQ-NEMA-026</t>
  </si>
  <si>
    <t xml:space="preserve">라이프라인 피해목적물(인벤토리) 피해액분석 </t>
  </si>
  <si>
    <t>시군구(읍면동)별/일자별 강우정보 맵핑 조회</t>
  </si>
  <si>
    <t>재해예방사업 전/후 외부 범람도 결과물 관리</t>
  </si>
  <si>
    <t>1. 선택된 시군구의 추이분석 기간 안에 해당하는 과거피해 추이이력을 
   차트로 보여준다
2. 강우량 정보와 피해액을 일자별로 막대와 선형차트로 표출한다
   2-1. 강우량은 선형 차트로 표출한다
   2-2. 피해액은 막대 차트로 표출한다</t>
  </si>
  <si>
    <t>1. 선택된 시군구의 추이분석 기간 안에 강우조건에 맞는 정보를 차트에
   표출한다
2. 강우량 정보와 피해액을 일자별로 막대와 선형차트로 표출한다
   2-1. 강우조건에 맞는 강우량을 선형 차트로 표출한다
   2-2. 피해액은 막대 차트로 표출한다</t>
  </si>
  <si>
    <t>1. 선택된 시군구의 추이분석 기간 안에 재해원인에 맞는 정보를 차트에
   표출한다
2. 강우량 정보와 피해액을 일자별로 막대와 선형차트로 표출한다
   2-1. 재해원인에 맞는 강우량을 선형 차트로 표출한다
   2-2. 피해액은 막대 차트로 표출한다</t>
  </si>
  <si>
    <t>1. 선택된 시군구의 추이분석 기간 안에 해당하는 과거피해 추이이력을 
   지도에 보여준다
2. 강우량 정보와 피해액을 일자별로 막대와 선형차트로 표출한다
   2-1. 강우량은 선형 차트로 표출한다
   2-2. 피해액은 막대 차트로 표출한다</t>
  </si>
  <si>
    <t>1. 외부범람도관리 -&gt; 보간(내삽)범람지도 관리를 선택한다
2. 입력버튼 클릭한다.
3. 내용 입력후 저장을 클릭한다.
4. 리스트에서 입려된 내용을 확인한다.</t>
  </si>
  <si>
    <t>1. 관리자 페이지에 접속 -&gt; 시스템 설정 -&gt; 피해 시설물별 원인 관리를 선택한다.
2. 입력버튼을 클릭한다.
3. 재해유형번호를 입력 -&gt; 재해유형을 입력 -&gt; 사용여부에서 Y 또는 N을 입력한다.
4. 입력버튼을 클릭한다.</t>
  </si>
  <si>
    <t>1. 시군구별 aws 관측소 설정 수정 화면을 보여준다.
2. 시군구별 aws 관측소 정보를 수정한다.
   2-1. 시군구별 aws 관측소 설정 목록 화면으로 이동한다.
   2-2. 시군구별 aws 관측소 설정 목록 화면으로 이동한다.</t>
  </si>
  <si>
    <t>1. 시군구별/일자별 강우정보 맵핑 입력화면을 보여준다.
2. 시군구별/일자별 강우정보 맵핑 정보를 입력한다.
   2-1. 시군구별/일자별 강우정보 맵핑 정보를 저장한다.
   2-2. 시군구별/일자별 강우정보 맵핑 목록 화면으로 이동한다.</t>
  </si>
  <si>
    <t>1. 공통상세코드 수정 화면을 보여준다.
2. 공통상세코드 정보를 수정한다.
   2-1. 공통상세코드 목록 화면으로 이동한다.</t>
  </si>
  <si>
    <t>1. 관리자 페이지에 접속 -&gt; 시스템설정 -&gt; 시군구별/일자별 강우정보 맵핑을 선택한다.
2. 입력버튼을 클릭한다.
3. 지역선택에서 시도, 시군구 선택 -&gt; 관측소명에서 관측소 선택 -&gt; 일 누적강우 입력 -&gt; 시간 누적강우 입력 -&gt; 강우 발생/종료일시 입력 -&gt; 사용여부를 입력한다.
4. 입력버튼을 클릭한다.</t>
  </si>
  <si>
    <t>1. 피해목적물관리(건물) 조회 화면을 보여준다.
2. 피해목적물관리(건물) 정보를 보여준다.</t>
  </si>
  <si>
    <t>1. 조회 목록에서 기준일자을 선택한다.
2. 침수심, 손상률을 수정 한후 수정 버튼을 클릭한다.</t>
  </si>
  <si>
    <t>1. 호우 사전피해예측지도 입력
2. 피해목적물 피해액 분석
8. 피해목적물 피해액 결과값 생성</t>
  </si>
  <si>
    <t xml:space="preserve">1. 관리자 페이지에 접속 -&gt; 관리시스템 -&gt; FAQ를 선택한다.
2. FAQ 목록을 조회한다.
</t>
  </si>
  <si>
    <t>1. 시군구별 aws 관측소 조회 화면을 보여준다.
2. 시군구별 aws 관측소 정보를 보여준다.</t>
  </si>
  <si>
    <t>1. 호우 사전피해예측지도 입력
2. 피해목적물 피해액 분석
7. 피해목적물 피해액 결과값 생성</t>
  </si>
  <si>
    <t>1. 시군구별/일자별 강우정보 맵핑 목록화면에서 관측소명을 클릭한다.
2. 삭제버튼을 클릭한다.</t>
  </si>
  <si>
    <t xml:space="preserve">1. 모의시뮬레이션 관리 목록에서 확인
2. 목록에서 요청상태 클릭하여 수정된 상세내용 확인 </t>
  </si>
  <si>
    <t>1. 피해목적물관리(교통) 조회 화면을 보여준다.
2. 피해목적물관리(교통) 정보를 보여준다.</t>
  </si>
  <si>
    <t>1. 과거 피해원인 조회 페이지에서 시군구별, 기간조건을 선택한다.
2. 조회버튼을 선택한다.</t>
  </si>
  <si>
    <t>1. 호우 사전피해예측지도 입력
2. 피해목적물 피해액 분석
5. 피해목적물 피해액 결과값 생성</t>
  </si>
  <si>
    <t>1. 호우 사전피해예측지도 입력
2. 피해목적물 피해액 분석
4. 피해목적물 피해액 결과값 생성</t>
  </si>
  <si>
    <t>1. 피해 시설물별 원인 관리 목록에서 재해유형 키워드를 입력한다.
2. 검색버튼을 클릭한다.</t>
  </si>
  <si>
    <t>침수예상구역, 과거침수구역(침수흔적), 풍수해위험지구, 지자체 선정 중점관리구역 중첩 공간정보 표출</t>
  </si>
  <si>
    <t>1.과거 모의시뮬레이션 조회
2.시뮬레이션 이력 정보에서 시군구를 선택한다.
3.읍면동을 선택한다.</t>
  </si>
  <si>
    <t>1. 위험등급 분석 결과 생성 목록을 보여준다.
2. 위험등급 분석 결과 생성 정보를 저장한다.</t>
  </si>
  <si>
    <t>1. 호우 사전피해예측지도 입력
2. 피해목적물 피해액 분석
3. 피해목적물 피해액 결과값 생성</t>
  </si>
  <si>
    <t xml:space="preserve">1. 모의시뮬레이션 관리
2. 요청 클릭 
3. 외부범람도 사용 클릭
4. 지역선택 , 파일입력  </t>
  </si>
  <si>
    <t>1. 피해목적물관리(농경지) 조회 화면을 보여준다.
2. 피해목적물관리(농경지) 정보를 보여준다.</t>
  </si>
  <si>
    <t>1. 호우 사전피해예측지도 입력
2. 피해목적물 피해액 분석
6. 피해목적물 피해액 결과값 생성</t>
  </si>
  <si>
    <t>1. 피해목적물관리(차량) 조회 화면을 보여준다.
2. 피해목적물관리(차량) 정보를 보여준다.</t>
  </si>
  <si>
    <t xml:space="preserve">사전피해예측 결과와 시나리오 기반(빈도별 재해지도) 피해결과 등 다양한 분석기능 제공 기능 개발 </t>
  </si>
  <si>
    <t>1. 피해목적물관리(인구) 조회 화면을 보여준다.
2. 피해목적물관리(인구) 정보를 보여준다.</t>
  </si>
  <si>
    <t>1. 피해목적물관리(하천) 조회 화면을 보여준다.
2. 피해목적물관리(하천) 정보를 보여준다.</t>
  </si>
  <si>
    <t>피해예측 반경 내 지자체, 유관기관 비상연락망 조회(표출), 행동요령 조회 기능 개발</t>
  </si>
  <si>
    <t>1. 시간별 강우 입력
2. 지역별 범람 분석
3. 시간별 shp, dbf 생성</t>
  </si>
  <si>
    <t>1. 예측/관측 강우 화면을 보여준다.
2. 예측/관측 강우 정보를 차트로 보여준다.</t>
  </si>
  <si>
    <t xml:space="preserve">1. 피해목적물관리(라이프라인) 목록을 보여준다.
2. 목록에서 삭제한 내용 확인
</t>
  </si>
  <si>
    <t>1. 인구 피해목적물(인벤토리) Web Service 요청
2. xml 파일 생성</t>
  </si>
  <si>
    <t>1. 과거 피해원인 조회 페이지에서 강우조건을 선택한다.
2. 조회버튼을 선택한다.</t>
  </si>
  <si>
    <t>1. 시군구별 면적설정 조회 화면을 보여준다.
2. 시군구별 면적 정보를 보여준다.</t>
  </si>
  <si>
    <t xml:space="preserve">1. 피해목적물관리(농경지) 목록을 보여준다.
2. 목록에서 입력한 내용 확인
</t>
  </si>
  <si>
    <t>1. 2. UT-002-01 단계 확인
2. 수신일자를 입력하고 검새버튼을 클릭한다.</t>
  </si>
  <si>
    <t>1. 메뉴 목록을 보여준다.
2. 권한별 부여한 메뉴명에 체크 정보를 보여준다.</t>
  </si>
  <si>
    <t>1. 공공/사유시설피해내역을 풍수해저감종합계획상의 사업 데이터와 배치로 매핑한다.</t>
  </si>
  <si>
    <t>1. 농작물 피해목적물(인벤토리) Web Service 요청
2. xml 파일 생성</t>
  </si>
  <si>
    <t>교통(철도) 피해목적물(인벤토리) Web Service 연계 파일 변환(SHP)생성</t>
  </si>
  <si>
    <t>M-NEMA-11-06-01
M-NEMA-09-02-01
M-NEMA-09-03-01</t>
  </si>
  <si>
    <t>1. 과거 피해원인 조회 페이지에서 재해조건을 선택한다.
2. 조회버튼을 선택한다.</t>
  </si>
  <si>
    <t>1. 예측/관측 강우 화면을 보여준다.
2. 예측/관측 강우 정보 리스트를 보여준다.</t>
  </si>
  <si>
    <t xml:space="preserve">1. 메이플 연계 모듈 실행 EXE파일
2. 연계폴더에 바니어리 파일 복사 붙여넣기
</t>
  </si>
  <si>
    <t xml:space="preserve">1. 피해목적물관리(라이프라인) 목록을 보여준다.
2. 목록에서 입력한 내용 확인
</t>
  </si>
  <si>
    <t>1. 과거 분석 결과 이력을 삭제한다.
2. 과거 분석 결과 이력 목록을 표출한다.</t>
  </si>
  <si>
    <t>1. 재난통계 가중치 조회 화면을 보여준다.
2. 재난통계 가중치 정보를 보여준다.</t>
  </si>
  <si>
    <t>M-NEMA-07-08-01
M-NEMA-07-06-01
M-NEMA-07-07-01</t>
  </si>
  <si>
    <t>1.차량 피해목적물(인벤토리) Web Service 요청
2. xml 파일 생성</t>
  </si>
  <si>
    <t>사용자 페이지에 접속 -&gt;  의사결정&gt;의사결정지원 메뉴를 선택한다.
목록을 선택한다.</t>
  </si>
  <si>
    <t>1. 하천 피해목적물(인벤토리) Web Service 요청
2. xml 파일 생성</t>
  </si>
  <si>
    <t xml:space="preserve">1. 피해목적물관리(농경지) 목록을 보여준다.
2. 목록에서 삭제한 내용 확인
</t>
  </si>
  <si>
    <t>라이프라인 피해목적물(인벤토리) Web Service 연계 파일 변환(SHP)생성</t>
  </si>
  <si>
    <t>1. 호우 사전피해예측지도 입력
2. 농경지 피해목적물 피해액 분석
3. 농경지 피해목적물 피해액 결과값 생성</t>
  </si>
  <si>
    <t>1. 호우 사전피해예측지도 입력
2. 농작물 피해목적물 피해액 분석
3. 농작물 피해목적물 피해액 결과값 생성</t>
  </si>
  <si>
    <t>1. 모의 시뮬레이션 -&gt; 과거 피해원인 조회를 선택한다.
2. 피해 원인을 선택한다.
3. 조회버튼을 선택한다.</t>
  </si>
  <si>
    <t>1. development_damage_rain 함수 파라미터에 시험 데이터 값을 넣는다.
2. 함수를 실행한다.</t>
  </si>
  <si>
    <t>1. 시군구별/일자별 강우정보 맵핑 조회 화면을 보여준다.
2. 시군구별 /일자별 강우정보 맵핑 정보를 보여준다.</t>
  </si>
  <si>
    <t>1. 시군구별 면적설정 페이지에서 지역을 선택한다.
2. 검색 버튼을 클릭하여 시군구별 면적 설정을 조회한다.</t>
  </si>
  <si>
    <t>1. 시군구별 총 강우량 관리 목록에서 해당 데이터명을 선택한다.
2. 시군구별 총 강우량 관리 목록을 조회한다.</t>
  </si>
  <si>
    <t>등록이 정상적으로 완료되었다는 알림 후, 목록화면으로 전환.
등록 된 건이 진행상태 "요청"으로 목록에 출력</t>
  </si>
  <si>
    <t>사용자 페이지에 접속 -&gt;  범람도관리를 선택한다.
범람도관리 목록을 조회한다.
범람도관리 상세화면을 조회한다.</t>
  </si>
  <si>
    <t>사용자 페이지에 접속 -&gt;  의사결정&gt;의사결정지원 메뉴를 선택한다.
지자체 별 관심시점의 삭제 버튼을 클릭한다.</t>
  </si>
  <si>
    <t>1. xml 파일의 geom 항목을 shp로 변환
2. xml 파일의 geom을 제외한 항목을 dbf로 변환</t>
  </si>
  <si>
    <t>1. 호우피해 -&gt; 호우피해 예측현황 선택한다.
2. 지역 또는 현재일시를 입력한다.
3. 검색 버튼을 클릭한다.</t>
  </si>
  <si>
    <t>1. 호우 사전피해예측지도 입력
2. 인벤토리 피해액 분석
3. 결과 보고서 조회 확인
4. 결과 보고서 출력</t>
  </si>
  <si>
    <t>1. 피해 시설물별 원인 관리 정보를 삭제한다.
   1-1. 피해 시설물별 원인 관리 목록 화면으로 이동한다.</t>
  </si>
  <si>
    <t>사용자 페이지에 접속 -&gt;  의사결정&gt;의사결정지원 메뉴를 선택한다.
지역을 선택한다.
검색 버튼을 클릭한다.
지자체 별 관심시점의 입력 버튼을 클릭한다.
지자체 별 관심지점 이름, 설명을 입력한다.
지도에서 지자체 별 관심지점을 그린다.
저장 버튼을 클릭한다.</t>
  </si>
  <si>
    <t>1. 풍수해저감종합계획 재해위험지구 조회조건에서 토사재해를 선택한다.
2. 풍수해저감종합계획 재해위험지구 토사재해 목록을 조회한다.</t>
  </si>
  <si>
    <t>1. 풍수해저감종합계획 재해위험지구 하천재해 조회 화면을 보여준다. 
2. 풍수해저감종합계획 재해위험지구 하천재해 정보를 보여준다.</t>
  </si>
  <si>
    <t>1. 다변량 피해함수 설정 페이지에서 지역을 선택한다.
2. 권역을 선택한다.
3. 검색 버튼을 클릭하여 다변량 피해함수를 조회한다.</t>
  </si>
  <si>
    <t>1. 관리자 페이지에 접속 -&gt; 시스템설정 -&gt; 손실손상함수 이력조회 선택한다.
2. 분야, 항목,선택한다.
3. 검색 버튼 클릭한다.</t>
  </si>
  <si>
    <t>1. 풍수해저감종합계획 재해위험지구 조회조건에서 해안재해를 선택한다.
2. 풍수해저감종합계획 재해위험지구 해안재해 목록을 조회한다.</t>
  </si>
  <si>
    <t>1. 관리자 페이지에 접속 -&gt; 시스템설정 -&gt; 피해시설물별 원인 설정을 선택한다.
2. 리스트중에 강우분석 여부 항목을 클릭한다.</t>
  </si>
  <si>
    <t>1. 풍수해저감종합계획 재해위험지구 해안재해 조회 화면을 보여준다. 
2. 풍수해저감종합계획 재해위험지구 해안재해 정보를 보여준다.</t>
  </si>
  <si>
    <t>1. 풍수해저감종합계획 재해위험지구 조회조건에서 내수재해를 선택한다.
2. 풍수해저감종합계획 재해위험지구 내수재해 목록을 조회한다.</t>
  </si>
  <si>
    <t>1. 관리자 페이지에 접속 -&gt; 관리시스템 -&gt; 피해목적물관리(건물)를 선택한다.
2. 2. 피해목적물관리(건물) 목록을 조회한다.</t>
  </si>
  <si>
    <t>1. 풍수해저감종합계획 재해위험지구 조회조건에서 바람재해를 선택한다.
2. 풍수해저감종합계획 재해위험지구 바람재해 목록을 조회한다.</t>
  </si>
  <si>
    <t>1. insert_cntnc_tm_accto_max_rainfall 함수 파라미터에 시험 데이터 값을 넣는다.
2. 함수를 실행한다.</t>
  </si>
  <si>
    <t>1. 풍수해저감종합계획 재해위험지구 사면재해 조회 화면을 보여준다. 
2. 풍수해저감종합계획 재해위험지구 사면재해 정보를 보여준다.</t>
  </si>
  <si>
    <t>1. 풍수해저감종합계획 재해위험지구 조회조건에서 하천재해를 선택한다.
2. 풍수해저감종합계획 재해위험지구 하천재해 목록을 조회한다.</t>
  </si>
  <si>
    <t>1. 풍수해저감종합계획 재해위험지구 바람재해 조회 화면을 보여준다. 
2. 풍수해저감종합계획 재해위험지구 바람재해 정보를 보여준다.</t>
  </si>
  <si>
    <t>1. 풍수해저감종합계획 재해위험지구 토사재해 조회 화면을 보여준다. 
2. 풍수해저감종합계획 재해위험지구 토사재해 정보를 보여준다.</t>
  </si>
  <si>
    <t>1. 풍수해저감종합계획 재해위험지구 조회조건에서 사면재해를 선택한다.
2. 풍수해저감종합계획 재해위험지구 사면재해 목록을 조회한다.</t>
  </si>
  <si>
    <t>1. 풍수해저감종합계획 재해위험지구 내수재해 조회 화면을 보여준다. 
2. 풍수해저감종합계획 재해위험지구 내수재해 정보를 보여준다.</t>
  </si>
  <si>
    <t>1. 시군구별/일자별 강우정보 맵핑 목록화면 지역선택에서 시도, 시군구를 선택 -&gt; 관측소명을 선택한다.
2. 검색버튼을 클릭한다.</t>
  </si>
  <si>
    <t>1. 외부범람도관리 -&gt; 해안(조위)범람지도관리를 선택한다
2. 지역을 선택한다.
3. 빈도를 선택한다.
4. 검색 버튼을 클릭한다.</t>
  </si>
  <si>
    <t xml:space="preserve">1. 자료수집계획현황 목록을 보여준다.
2. 자료수집계획현황 입력화면을 보야준다.
   2-1. 자료수집계획현황 정보를 저장한다.
</t>
  </si>
  <si>
    <t>1. 시군구별 표준유역강우 면적비/최대치 조회 화면을 보여준다.
2. 시군구별 표준유역강우 면적비/최대치  조회 정보를 보여준다.</t>
  </si>
  <si>
    <t>1. insert_sigungu_obs_fcst_rainfall 함수 파라미터에 시험 데이터 값을 넣는다.
2. 함수를 실행한다.</t>
  </si>
  <si>
    <t>1. 외부범람도관리 -&gt; 보간(내삽)범람지도 관리를 선택한다
2. 지역을 선택한다.
3. 빈도를 선택한다.
4. 검색 버튼을 클릭한다.</t>
  </si>
  <si>
    <t>1. 시군구별/일자별 강우정보 맵핑 정보를 삭제한다.
   1-1. 삭제한 정보는 사용여부가 Y-&gt;N으로 바뀌어 목록화면에 표출된다.</t>
  </si>
  <si>
    <t>1. 재난통계 피해예측현황 화면을 보여준다.
2. 피해추정 강우패턴에서 패턴보기를 통해 일자별(1~7일) 강우량 정보를 보여준다.</t>
  </si>
  <si>
    <t xml:space="preserve">1. 관리자 페이지에 접속 -&gt; 관리시스템 -&gt; 조건에서 하천을 선택 -&gt; 조회 버튼을 클릭한다.
2. 목록에서 상세보기 버튼 클릭 -&gt;  수정 버튼 클릭 -&gt; 속성정보 수정 -&gt; 저장 버튼 클릭 </t>
  </si>
  <si>
    <t xml:space="preserve">1. 관리자 페이지에 접속 -&gt; 관리시스템 -&gt; 조건에서 차량을 선택 -&gt; 조회 버튼을 클릭한다.
2. 목록에서 상세보기 버튼 클릭 -&gt;  수정 버튼 클릭 -&gt; 속성정보 수정 -&gt; 저장 버튼 클릭 </t>
  </si>
  <si>
    <t>1. 관리자 페이지에 접속 -&gt; 관리시스템 -&gt; 시군구별 표준유역강우 면적비 설정을 선택한다.
2. 등록 버튼 클릭 -&gt;  시군구별 표준유역강우 정보등록 화면에서 내용 입력 후 저장 버튼을 클릭한다.</t>
  </si>
  <si>
    <t>1. 다변량 피해함수 설정 입력화면을 보여준다.
2. 다변량 피해함수 정보를 입력한다.
   2-1. 다변량 피해함수 정보를 저장한다.
   2-2. 다변량 피해함수 설정 목록 화면으로 이동한다.</t>
  </si>
  <si>
    <t xml:space="preserve">1. 관리자 페이지에 접속 -&gt; 관리시스템 -&gt; 조건에서 인구를 선택 -&gt; 조회 버튼을 클릭한다.
2. 목록에서 상세보기 버튼 클릭 -&gt;  수정 버튼 클릭 -&gt; 속성정보 수정 -&gt; 저장 버튼 클릭 </t>
  </si>
  <si>
    <t>1. 재난통계 가중치 관리 입력화면을 보여준다.
2. 재난통계 가중치 정보를 입력한다.
   2-1. 재난통계 가중치 정보를 저장한다.
   2-2. 재난통계 가중치 관리 목록 화면으로 이동한다.</t>
  </si>
  <si>
    <t>사용자 페이지에 접속 -&gt; 범람도관리를 선택한다.
(등록 시) 등록 버튼 클릭 -&gt;  외부 범람도 정보등록 화면에서 내용 입력 후 등록 버튼을 클릭한다.</t>
  </si>
  <si>
    <t>사용자 페이지에 접속 -&gt;  의사결정&gt;사전피해예측과 시나리오기반 피해결과비교 메뉴를 선택한다.
지역을 선택 -&gt; 분석일시 선택한다.
검색 버튼을 클릭한다.</t>
  </si>
  <si>
    <t>1. 외부범람도관리 -&gt; 해안(조위)범람지도관리를 선택한다
2. 상세보기 클릭후 상세보기에 삭제 버튼 클릭한다.
3. 리스트에서 삭제된 내용을 확인하다.</t>
  </si>
  <si>
    <t>1. 외부범람도관리 -&gt; 내수범람지도관리를 선택한다.
2. 입력버튼 클릭한다.
3. 내용 입력후 저장을 클릭한다.
4. 리스트에서 입려된 내용을 확인한다.</t>
  </si>
  <si>
    <t xml:space="preserve">1. 과거 모의시뮬레이션 관리
2. 과거 모의시뮬레이션 선택
3. 외부범람도 재해지도에 범람유형, 빈도 선택
4. 외부범람도 재해지도에 검색 버튼 클릭 </t>
  </si>
  <si>
    <t>1. 외부범람도관리 -&gt; 외수범람지도관리를 선택한다.
2. 입력버튼 클릭한다.
3. 내용 입력후 저장을 클릭한다.
4. 리스트에서 입려된 내용을 확인한다.</t>
  </si>
  <si>
    <t>1. 사용자 교육 동영상 조회 화면에서 삭제버튼을 클릭한다.
2. 삭제 확인 메세지를 보여준다.
   2-1. 사용자 교육 동영상 삭제 버튼을 클릭한다.</t>
  </si>
  <si>
    <t>1. 관리자 페이지에 접속 -&gt; 관리시스템 -&gt; 메뉴권한을 선택한다.
2. 권한명을 입력하고 검색 버튼을 클릭한다.
3. 권한별 메뉴 생성 목록을 조회한다.</t>
  </si>
  <si>
    <t>1. 공통상세코드 조회 화면에서 수정버튼을 클릭한다.
2. 공통상세코드 수정 화면을 보여준다.
   2-1. 공통상세코드 수정 화면에서 저장버튼을 클릭한다.</t>
  </si>
  <si>
    <t>1. 관리자 페이지에 접속 -&gt; 시스템설정 -&gt; 시군구별 aws 관측소 설정을 선택한다.
2. 지역 선택 -&gt; 설정 버튼 클릭 -&gt; 삭제 버튼을 클릭한다.</t>
  </si>
  <si>
    <t>1. 관리자 페이지에 접속 -&gt; 관리시스템 -&gt; 조건에서 라이프라인을 선택 -&gt; 조회 버튼을 클릭한다.
2. 피해목적물관리(라이프라인) 목록을 조회한다.</t>
  </si>
  <si>
    <t>1. 모의시뮬레이션 관리
2. 상세보기에 수정상태버튼 클릭
3. 수정할 내용 입력
4. 저장 버튼 클릭</t>
  </si>
  <si>
    <t>1. 호우 사전피해예측지도 입력
2. 하천 피해목적물 피해액 분석
3. 하천 피해목적물 피해액 결과값 생성</t>
  </si>
  <si>
    <t xml:space="preserve">1. FAQ 목록을 보여준다.
2. FAQ 입력화면을 보야준다.
   2-1. FAQ 정보를 저장한다.
</t>
  </si>
  <si>
    <t>1. 피해 시설물별 원인 설정 조회 화면을 보여준다.
2. 피해 시설물별 원인 설정 정보를 보여준다.</t>
  </si>
  <si>
    <t>1. 호우 사전피해예측지도 입력
2. 건물 피해목적물 피해액 분석
3. 건물 피해목적물 피해액 결과값 생성</t>
  </si>
  <si>
    <t>1. 호우 사전피해예측지도 입력
2. 차량 피해목적물 피해액 분석
3. 차량 피해목적물 피해액 결과값 생성</t>
  </si>
  <si>
    <t>1. 피해목적물관리(라이프라인) 조회 화면을 보여준다.
2. 피해목적물관리(라이프라인) 정보를 보여준다.</t>
  </si>
  <si>
    <t>1. 이력조회 화면에서 입력한내용이 있는지 확인한다.
2. 상세보기를 클릭한후 입력된 내용을 확인한다.</t>
  </si>
  <si>
    <t>1. 호우 사전피해예측지도 입력
2. 인구 피해목적물 피해액 분석
3. 인구 피해목적물 피해액 결과값 생성</t>
  </si>
  <si>
    <t>1. 피해 시설물별 원인 관리 조회 화면을 보여준다.
2. 피해 시설물별 원인 관리 정보를 보여준다.</t>
  </si>
  <si>
    <t>강우조건별(1, 3, 6, 12, 24 누적강우별/시간최대강우별/총누적강우별) 과거 피해예측 결과조회</t>
  </si>
  <si>
    <t xml:space="preserve">1. 입력 된 내용을 모의시뮬레이션 관리 목록에서 확인
2. 목록에서 요청상태 클릭하여 상세내용 확인 </t>
  </si>
  <si>
    <t>초단기 예측 강우 소유역단위 분석해상도별(1*1, 5*5, 10*10, 30*30) 강우 변환 파일 생성</t>
  </si>
  <si>
    <t>1. 모의시뮬레이션 -&gt; 과거 분석 결과 이력을 선택한다.
2. 해당 리스트의 삭제 버튼을 클릭한다.</t>
  </si>
  <si>
    <t>1. 모의시뮬레이션 -&gt; 과거 분석 결과 이력을 선택한다.
2. 지역을 선택한다.
3. 조희를 선택한다.</t>
  </si>
  <si>
    <t>사전피해예측과 시나리오기반 피해결과비교
침수흔적도 자료 조회
재해위험개선지구 자료 조회
공공시설 자료 조회</t>
  </si>
  <si>
    <t>1. 호우 사전피해예측지도 입력
2. 교통 피해목적물 피해액 분석
3. 교통 피해목적물 피해액 결과값 생성</t>
  </si>
  <si>
    <t>1. 시군구별 총 강우량 관리 조회 화면을 보여준다.
2. 시군구별 총 강우량 관리 정보를 보여준다.</t>
  </si>
  <si>
    <t>사전피해예측과 시나리오기반 피해결과비교
침수흔적도 지구
재해위험 개선지구
공공시설
방재시설
예경보시설</t>
  </si>
  <si>
    <t>1. 교통(철도) 피해목적물(인벤토리) Web Service 요청
2. xml 파일 생성</t>
  </si>
  <si>
    <t>VIQ-NEMA-028
VIQ-NEMA-027
VIQ-NEMA-030
VIQ-NEMA-031</t>
  </si>
  <si>
    <t>VIQ-NEMA-013
VIQ-NEMA-006
VIQ-NEMA-007
VIQ-NEMA-008</t>
  </si>
  <si>
    <t>피해목적물(인벤토리)(교통,차량,농작물,라이프라인,인구,하천)레포트생성 정보를 관리 한다.</t>
  </si>
  <si>
    <t>1. 피해 시설물별 원인 관리 목록에서 재해유형번호를 클릭한다.
2. 삭제버튼을 클릭한다.</t>
  </si>
  <si>
    <t xml:space="preserve">1. 모의시뮬레이션 관리 목록에서 확인
2. 목록에서 요청상태 클릭하여 상세내용 확인 </t>
  </si>
  <si>
    <t>1. 외부 범람도 입력
2. 피해목적물 피해액 분석
3. 피해목적물 피해액 결과값 생성</t>
  </si>
  <si>
    <t>1. 조회 목록에서 기준일자을 선택한다.
2. 손상률을 수정 한후 수정 버튼을 클릭한다.</t>
  </si>
  <si>
    <t>피해목적물(인벤토리) Web Service 연계 파일 변환(SHP)생성 정보를 관리 한다.</t>
  </si>
  <si>
    <t>1. 사용자 교육 동영상 조회 화면을 보여준다.
2. 사용자 교육 동영상 정보를 보여준다.</t>
  </si>
  <si>
    <t>전 범람도 shp, shx, dbf, prj,
후 범람도 shp, shx, dbf, prj</t>
  </si>
  <si>
    <t>1. 라이프라인 피해목적물(인벤토리) Web Service 요청
2. xml 파일 생성</t>
  </si>
  <si>
    <t>1. 다변량 피해함수 설정 조회 화면을 보여준다.
2. 다변량 피해함수 정보를 보여준다.</t>
  </si>
  <si>
    <r>
      <t xml:space="preserve">호우 사전피해예측 분석결과 이력 저장 </t>
    </r>
    <r>
      <rPr>
        <sz val="10"/>
        <color rgb="FFFF0000"/>
        <rFont val="휴먼명조"/>
        <charset val="129"/>
      </rPr>
      <t>및 강우관측/예측지역 분석 실행기능</t>
    </r>
  </si>
  <si>
    <t>재난통계기반 과거 피해이력별 강우량 분석을 통한 피해 추이 분석 기능 개발</t>
  </si>
  <si>
    <t xml:space="preserve">1. 피해목적물관리(인구) 목록을 보여준다.
2. 목록에서 삭제한 내용 확인
</t>
  </si>
  <si>
    <t>1. 모니터링 화면을 확인한다.
2. 바이너리 파일이 생성되었는지 확인한다.</t>
  </si>
  <si>
    <t>관측소별 시간별(1, 3, 6, 12, 24시간) 수위, 유량 추이분석 기능</t>
  </si>
  <si>
    <t>1.과거 모의시뮬레이션 조회
2.시뮬레이션 이력 정보에서 시군구를 선택한다.</t>
  </si>
  <si>
    <t xml:space="preserve">1. 피해목적물관리(건물) 목록을 보여준다.
2. 목록에서 삭제한 내용 확인
</t>
  </si>
  <si>
    <t>호우 사전피해예측 분석결과 이력 저장 및 강우관측/예측지역 분석 실행기능</t>
  </si>
  <si>
    <t>1. 손실손상함수 입력 목록을 보여준다.
2. 손실손상함수 정보를 저장한다.</t>
  </si>
  <si>
    <t xml:space="preserve">피해목적물(인벤토리)(교통,차량,농작물,라이프라인,인구,하천)레포트생성 </t>
  </si>
  <si>
    <t>1. 각 예측건, 해당 관리자의 대한 시간간격,1일최대 횟수를 수정한다.</t>
  </si>
  <si>
    <t>사용자교육 동영상관리
사용자 풍수해피해예측시스템매뉴얼동영상
배포판 다운로드</t>
  </si>
  <si>
    <t>1. 손실손상함수 수정 화면을 보여준다.
2. 손실손상함수 정보를 수정한다.</t>
  </si>
  <si>
    <t xml:space="preserve">1. 피해목적물관리(인구) 목록을 보여준다.
2. 목록에서 입력한 내용 확인
</t>
  </si>
  <si>
    <t>1. 손실손상함수 수정 화면을 보여준다.
2. 손실손상함수 정보를 삭제한다.</t>
  </si>
  <si>
    <t>피해목적물(인벤토리) Web Service 연계 파일 정보를 관리 한다.</t>
  </si>
  <si>
    <t xml:space="preserve">1. 모의시뮬레이션 관리
2. 요청 클릭 
3. 지역선택 , 요청정보 입력 </t>
  </si>
  <si>
    <t xml:space="preserve">1. 피해목적물관리(차량) 목록을 보여준다.
2. 목록에서 삭제한 내용 확인
</t>
  </si>
  <si>
    <t xml:space="preserve">1. 피해목적물관리(교통) 목록을 보여준다.
2. 목록에서 삭제한 내용 확인
</t>
  </si>
  <si>
    <t xml:space="preserve">1. 피해목적물관리(차량) 목록을 보여준다.
2. 목록에서 입력한 내용 확인
</t>
  </si>
  <si>
    <t xml:space="preserve">1. 피해목적물관리(하천) 목록을 보여준다.
2. 목록에서 삭제한 내용 확인
</t>
  </si>
  <si>
    <t>인구 피해목적물(인벤토리) Web Service 연계 파일 변환(SHP)생성</t>
  </si>
  <si>
    <t>사전피해예측 정보(사전피해, 시나리오)와 침수취약지역 등 의사지원 기능 개발</t>
  </si>
  <si>
    <t>1. 손실손상함수 조회 화면을 보여준다.
2. 손실손상함수 목록을 보여준다.</t>
  </si>
  <si>
    <t>침수심이 반영된 SHP형태의 공간정보 표출 및 범람도내의 피해목적물 표출</t>
  </si>
  <si>
    <t xml:space="preserve">1. 피해목적물관리(건물) 목록을 보여준다.
2. 목록에서 입력한 내용 확인
</t>
  </si>
  <si>
    <t>기초자료 세트(ZIP) 입력(토지피복도, DEM, 토양도) 정보를 관리 한다.</t>
  </si>
  <si>
    <t>1. 호우 사전피해예측지도 입력
2. 피해액 산정 대상 인벤토리 지도 생성</t>
  </si>
  <si>
    <t>차량 피해목적물(인벤토리) Web Service 연계 파일 변환(SHP)생성</t>
  </si>
  <si>
    <t xml:space="preserve">1. 피해목적물관리(하천) 목록을 보여준다.
2. 목록에서 입력한 내용 확인
</t>
  </si>
  <si>
    <t>1. 공통상세코드 조회 화면을 보여준다.
2. 공통상세코드 정보를 보여준다.</t>
  </si>
  <si>
    <t>농작물 피해목적물(인벤토리) Web Service 연계 파일 변환(SHP)생성</t>
  </si>
  <si>
    <t xml:space="preserve">1. 피해목적물관리(교통) 목록을 보여준다.
2. 목록에서 입력한 내용 확인
</t>
  </si>
  <si>
    <t>시군구별 관측강우 및 예측강우 7일치 총 강우량 생성 정보를 관리 한다.</t>
  </si>
  <si>
    <t>시군구별 관측강우 및 예측강우 일자별(1~7일) 강우량 생성을 관리 한다.</t>
  </si>
  <si>
    <t>하천 피해목적물(인벤토리) Web Service 연계 파일 변환(SHP)생성</t>
  </si>
  <si>
    <t>UC-NEMA-023-02</t>
  </si>
  <si>
    <t>지역별 취약인구 정보 조회</t>
  </si>
  <si>
    <t>시군구별 총강우량 설정 조회</t>
  </si>
  <si>
    <t>위험등급 분석결과 이력 조회</t>
  </si>
  <si>
    <t>피해분석결과 이력 삭제</t>
  </si>
  <si>
    <t>사용자 교육 동영상 정보</t>
  </si>
  <si>
    <t>CCD-NEMA-001</t>
  </si>
  <si>
    <t>CCD-NEMA-046</t>
  </si>
  <si>
    <t>M-NEMA-08-02-01</t>
  </si>
  <si>
    <t>PRG-NEMA-055</t>
  </si>
  <si>
    <t>M-NEMA-12-06-01</t>
  </si>
  <si>
    <t>기상청 초단기 예측강우 파싱</t>
  </si>
  <si>
    <t>UTS-NEMA-051</t>
  </si>
  <si>
    <t>PRG-NEMA-058</t>
  </si>
  <si>
    <t>외부 범람도 결과물 관리</t>
  </si>
  <si>
    <t>PRG-NEMA-044</t>
  </si>
  <si>
    <t>M-NEMA-01-01-01</t>
  </si>
  <si>
    <t>VIQ-NEMA-019</t>
  </si>
  <si>
    <t>재해예방사업 타당성 검토</t>
  </si>
  <si>
    <t>PRG-NEMA-078</t>
  </si>
  <si>
    <t>UTS-NEMA-012</t>
  </si>
  <si>
    <t>UTS-NEMA-046</t>
  </si>
  <si>
    <t>CCD-NEMA-018</t>
  </si>
  <si>
    <t>CCD-NEMA-038</t>
  </si>
  <si>
    <t>UC2-NEMA-002-01</t>
  </si>
  <si>
    <t>시군구별 면적설정 삭제</t>
  </si>
  <si>
    <t>PRG-NEMA-011</t>
  </si>
  <si>
    <t>UTS-NEMA-062</t>
  </si>
  <si>
    <t>PRG-NEMA-059</t>
  </si>
  <si>
    <t>UC-NEMA-010-01</t>
  </si>
  <si>
    <t>M-NEMA-07-06-01</t>
  </si>
  <si>
    <t>PRG-NEMA-075</t>
  </si>
  <si>
    <t>UTS-NEMA-083</t>
  </si>
  <si>
    <t>PRG-NEMA-025</t>
  </si>
  <si>
    <t>UC-NEMA-017-01</t>
  </si>
  <si>
    <t>UC-NEMA-026-01</t>
  </si>
  <si>
    <t>PRG-NEMA-047</t>
  </si>
  <si>
    <t>UTS-NEMA-032</t>
  </si>
  <si>
    <t>M-NEMA-10-03-01</t>
  </si>
  <si>
    <t>CCD-NEMA-015</t>
  </si>
  <si>
    <t>M-NEMA-02-02-01</t>
  </si>
  <si>
    <t>풍수해저감종합계획 관리</t>
  </si>
  <si>
    <t>과거 피해예측 결과조회</t>
  </si>
  <si>
    <t>PRG-NEMA-007</t>
  </si>
  <si>
    <t>UTS-NEMA-028</t>
  </si>
  <si>
    <t>PRG-NEMA-080</t>
  </si>
  <si>
    <t>피해목적물(인벤토리) 관리</t>
  </si>
  <si>
    <t>UTS-NEMA-078</t>
  </si>
  <si>
    <t>PRG-NEMA-049</t>
  </si>
  <si>
    <t>UTS-NEMA-064</t>
  </si>
  <si>
    <t>과거 분석 결과 이력 통계</t>
  </si>
  <si>
    <t>사용자 교육 동영상 관리</t>
  </si>
  <si>
    <t>UTS-NEMA-074</t>
  </si>
  <si>
    <t>VIQ-NEMA-001</t>
  </si>
  <si>
    <t>재해예방사업 범람도 관리</t>
  </si>
  <si>
    <t>CCD-NEMA-037</t>
  </si>
  <si>
    <t>UC-NEMA-018-01</t>
  </si>
  <si>
    <t>시군구별 총강우량 설정 삭제</t>
  </si>
  <si>
    <t>PRG-NEMA-079</t>
  </si>
  <si>
    <t>UTS-NEMA-023</t>
  </si>
  <si>
    <t>CCD-NEMA-011</t>
  </si>
  <si>
    <t>1. 매핑테이블을 확인한다.</t>
  </si>
  <si>
    <t>UC-NEMA-010-02</t>
  </si>
  <si>
    <t>배포판 피해목적물 분석기능</t>
  </si>
  <si>
    <t>PRG-NEMA-054</t>
  </si>
  <si>
    <t>M-NEMA-05-01-01</t>
  </si>
  <si>
    <t>UC-NEMA-021-01</t>
  </si>
  <si>
    <t>UC-NEMA-016-04</t>
  </si>
  <si>
    <t>내수/외수/조위 범람도 조회</t>
  </si>
  <si>
    <t>UTS-NEMA-016</t>
  </si>
  <si>
    <t>시군구별 면적설정 수정</t>
  </si>
  <si>
    <t>UTS-NEMA-084</t>
  </si>
  <si>
    <t>모의시뮬레이션 요청화면</t>
  </si>
  <si>
    <t>CCD-NEMA-019</t>
  </si>
  <si>
    <t>사용자 피해분석 결과 관리</t>
  </si>
  <si>
    <t>1~6시간 피해액 표출</t>
  </si>
  <si>
    <t>PRG-NEMA-083</t>
  </si>
  <si>
    <t>UC-NEMA-036-02</t>
  </si>
  <si>
    <t>CCD-NEMA-020</t>
  </si>
  <si>
    <t>사용자 피해분석 결과 삭제</t>
  </si>
  <si>
    <t>VIQ-NEMA-005</t>
  </si>
  <si>
    <t>UC-NEMA-034-01</t>
  </si>
  <si>
    <t>PRG-NEMA-065</t>
  </si>
  <si>
    <t>피해분석결과 이력 조회</t>
  </si>
  <si>
    <t>CCD-NEMA-016</t>
  </si>
  <si>
    <t>지속시간별 최대강우량 관리</t>
  </si>
  <si>
    <t>PRG-NEMA-023</t>
  </si>
  <si>
    <t>PRG-NEMA-036</t>
  </si>
  <si>
    <t>PRG-NEMA-060</t>
  </si>
  <si>
    <t>UTS-NEMA-004</t>
  </si>
  <si>
    <t>M-NEMA-02-01-01</t>
  </si>
  <si>
    <t>외수 재해지도 파일 삭제</t>
  </si>
  <si>
    <t>UC-NEMA-028-02</t>
  </si>
  <si>
    <t>UTS-NEMA-006</t>
  </si>
  <si>
    <t>CCD-NEMA-013</t>
  </si>
  <si>
    <t>PRG-NEMA-018</t>
  </si>
  <si>
    <t>PRG-NEMA-064</t>
  </si>
  <si>
    <t>UC-NEMA-008-03</t>
  </si>
  <si>
    <t>UTS-NEMA-045</t>
  </si>
  <si>
    <t>PRG-NEMA-046</t>
  </si>
  <si>
    <t>CCD-NEMA-042</t>
  </si>
  <si>
    <t>VIQ-NEMA-044</t>
  </si>
  <si>
    <t>FAQ 페이지 자료생성</t>
  </si>
  <si>
    <t>시군구별 면적설정 정보</t>
  </si>
  <si>
    <t>M-NEMA-04-01-01</t>
  </si>
  <si>
    <t>UC-NEMA-001-01</t>
  </si>
  <si>
    <t>PRG-NEMA-066</t>
  </si>
  <si>
    <t>UC-NEMA-026-03</t>
  </si>
  <si>
    <t>UTS-NEMA-001</t>
  </si>
  <si>
    <t>UC-NEMA-035-01</t>
  </si>
  <si>
    <t>PRG-NEMA-053</t>
  </si>
  <si>
    <t>UTS-NEMA-018</t>
  </si>
  <si>
    <t>분석/설계/구현/시험/이행</t>
  </si>
  <si>
    <t>UC-NEMA-004-03</t>
  </si>
  <si>
    <t>M-NEMA-07-09-01</t>
  </si>
  <si>
    <t>PRG-NEMA-056</t>
  </si>
  <si>
    <t>피해시설물별 피해 추이분석</t>
  </si>
  <si>
    <t>UC-NEMA-003-02</t>
  </si>
  <si>
    <t>VIQ-NEMA-042</t>
  </si>
  <si>
    <t>UTS-NEMA-080</t>
  </si>
  <si>
    <t>PRG-NEMA-067</t>
  </si>
  <si>
    <t>M-NEMA-12-02-01</t>
  </si>
  <si>
    <t>M-NEMA-11-04-01</t>
  </si>
  <si>
    <t>CCD-NEMA-004</t>
  </si>
  <si>
    <t>위험등급 분석결과 테이블</t>
  </si>
  <si>
    <t>UC-NEMA-020-03</t>
  </si>
  <si>
    <t>UTS-NEMA-024</t>
  </si>
  <si>
    <t>UC-NEMA-006-04</t>
  </si>
  <si>
    <t>피해분석결과 이력 테이블</t>
  </si>
  <si>
    <t>PRG-NEMA-043</t>
  </si>
  <si>
    <t>PRG-NEMA-063</t>
  </si>
  <si>
    <t>M-NEMA-08-04-01</t>
  </si>
  <si>
    <t>피해액 산정 결과 파일</t>
  </si>
  <si>
    <t>VIQ-NEMA-046</t>
  </si>
  <si>
    <t>PRG-NEMA-027</t>
  </si>
  <si>
    <t>시군구별 재난통계 분석 결과</t>
  </si>
  <si>
    <t>지역별 취약인구 정보 수정</t>
  </si>
  <si>
    <t>사용자 교육 동영상 입력</t>
  </si>
  <si>
    <t>UTS-NEMA-021</t>
  </si>
  <si>
    <t>VIQ-NEMA-020</t>
  </si>
  <si>
    <t>VIQ-NEMA-018</t>
  </si>
  <si>
    <t>PRG-NEMA-028</t>
  </si>
  <si>
    <t>UC-NEMA-013-06</t>
  </si>
  <si>
    <t>UTS-NEMA-079</t>
  </si>
  <si>
    <t>UC-NEMA-036-03</t>
  </si>
  <si>
    <t>UC-NEMA-008-02</t>
  </si>
  <si>
    <t>UC-NEMA-014-01</t>
  </si>
  <si>
    <t>M-NEMA-09-04-01</t>
  </si>
  <si>
    <t>UTS-NEMA-059</t>
  </si>
  <si>
    <t>UC-NEMA-006-01</t>
  </si>
  <si>
    <t>M-NEMA-08-05-01</t>
  </si>
  <si>
    <t>UC-NEMA-025-01</t>
  </si>
  <si>
    <t>PRG-NEMA-010</t>
  </si>
  <si>
    <t>1. 다변량 피해함수 설정 수정화면을 보여준다.
2. 다변량 피해함수 정보를 수정한다.
   2-1. 다변량 피해함수 정보를 저장한다.
   2-2. 다변량 피해함수 설정 목록 화면으로 이동한다.</t>
  </si>
  <si>
    <t>1. 재난통계 가중치 관리 수정화면을 보여준다.
2. 재난통계 가중치 정보를 수정한다.
   2-1. 재난통계 가중치 정보를 저장한다.
   2-2. 재난통계 가중치 관리 목록 화면으로 이동한다.</t>
  </si>
  <si>
    <t xml:space="preserve">1. 관리자 페이지에 접속 -&gt; 관리시스템 -&gt; 조건에서 농경지를 선택 -&gt; 조회 버튼을 클릭한다.
2. 목록에서 상세보기 버튼 클릭 -&gt;  수정 버튼 클릭 -&gt; 속성정보 수정 -&gt; 저장 버튼 클릭 </t>
  </si>
  <si>
    <t xml:space="preserve">1. 관리자 페이지에 접속 -&gt; 시스템설정 -&gt; 시군구별 면적설정을 선택한다.
2. 지역 선택 -&gt; 입력 버튼 클릭 
3. 시군구별 면적설정 등록 화면에서 내용 입력 후 저장 버튼을 클릭한다. </t>
  </si>
  <si>
    <t xml:space="preserve">1. 관리자 페이지에 접속 -&gt; 관리시스템 -&gt; 조건에서 교통을 선택 -&gt; 조회 버튼을 클릭한다.
2. 목록에서 상세보기 버튼 클릭 -&gt;  수정 버튼 클릭 -&gt; 속성정보 수정 -&gt; 저장 버튼 클릭 </t>
  </si>
  <si>
    <t>1. 시군구별 표준유역강우 면적비/최대치 목록화면에서 시도를 클릭한다.
2. 수정버튼을 클릭한다.
3. 면적비를 수정한다.
4. 시군구별표준유역강우 면적비/최대치 수정 화면에서 저장버튼을 클릭한다.</t>
  </si>
  <si>
    <t>1. 시군구별 표준유역강우 면적비/최대치 조회 화면을 보여준다.
2. 시군구별 표준유역강우 면적비/최대치 정보를 삭게한다.
   2-1. 시군구별 표준유역강우 면적비/최대치 목록 화면으로 이동한다.</t>
  </si>
  <si>
    <t>1. 시군구별 표준유역강우 면적비/최대치 수정 화면을 보여준다.
2. 시군구별 표준유역강우 면적비/최대치 정보를 수정한다.
   2-1. 시군구별 표준유역강우 면적비/최대치 목록 화면으로 이동한다.</t>
  </si>
  <si>
    <t>1. 풍수해저감종합계획 해안재해 수정 화면을 보여준다.
2. 풍수해저감종합계획 해안재해 정보를 삭게한다.
   2-1. 풍수해저감종합계획 재해관리 화면으로 이동한다.</t>
  </si>
  <si>
    <t xml:space="preserve">1. 관리자 페이지에 접속 -&gt; 관리시스템 -&gt; 피해목적물관리(건물)를 선택한다.
2. 목록에서 건물구조물가치 , 건물내용물가치에 내용을 입력 &gt;  수정 버튼 클릭 </t>
  </si>
  <si>
    <t>1. 관리자 페이지에 접속 -&gt; 시스템설정 -&gt; 시군구별 aws 관측소 설정을 선택한다.
2. 지역 선택 -&gt; 설정 버튼 클릭 -&gt; 관측소 선택 후 저장 버튼을 클릭한다.</t>
  </si>
  <si>
    <t>1. 관리자 페이지에 접속 -&gt; 시스템설정 -&gt; 시군구별 aws 관측소 설정를 선택한다.
2. 지역 선택 -&gt; 설정 버튼 클릭 -&gt; 관측소 선택 후 저장 버튼을 클릭한다.</t>
  </si>
  <si>
    <t>1. 풍수해저감종합계획 바람재해 수정 화면을 보여준다.
2. 풍수해저감종합계획 재바람해 정보를 수정한다.
   2-1. 풍수해저감종합계획 재해관리 화면으로 이동한다.</t>
  </si>
  <si>
    <t>1. 풍수해저감종합계획 해안재해 수정 화면을 보여준다.
2. 풍수해저감종합계획 재해안해 정보를 수정한다.
   2-1. 풍수해저감종합계획 재해관리 화면으로 이동한다.</t>
  </si>
  <si>
    <t xml:space="preserve">1. 관리자 페이지에 접속 -&gt; 관리시스템 -&gt; 피해목적물관리(건물)를 선택한다.
2. 목록에서 건물구조물가치 , 건물내용물가치에 내용을 입력 &gt;  삭제 버튼 클릭 </t>
  </si>
  <si>
    <t>1. 시군구별 총 강우량 관리 수정 화면을 보여준다.
2. 시군구별 총 강우량 관리 정보를 수정한다.
   2-1. 시군구별 총 강우량 관리 목록 화면으로 이동한다.</t>
  </si>
  <si>
    <t>1. 자료수집계획현황 조회 화면에서 수정버튼을 클릭한다.
2. 자료수집계획현황 수정 화면을 보여준다.
   2-1. 자료수집계획현황 수정 화면에서 저장버튼을 클릭한다.</t>
  </si>
  <si>
    <t>1. 관리자 페이지에 접속 -&gt; 관리시스템 -&gt; 자료수집 현황를 선택한다.
2. 입력 버튼 클릭 -&gt;  자료수집계획현황 화면에서 내용 입력 후 저장 버튼을 클릭한다.</t>
  </si>
  <si>
    <t>1. 풍수해저감종합계획 내수재해 수정 화면을 보여준다.
2. 풍수해저감종합계획 재내수해 정보를 수정한다.
   2-1. 풍수해저감종합계획 재해관리 화면으로 이동한다.</t>
  </si>
  <si>
    <t>1. 풍수해저감종합계획 토사재해 수정 화면을 보여준다.
2. 풍수해저감종합계획 토사재해 정보를 삭게한다.
   2-1. 풍수해저감종합계획 재해관리 화면으로 이동한다.</t>
  </si>
  <si>
    <t>1. 풍수해저감종합계획 바람재해 수정 화면을 보여준다.
2. 풍수해저감종합계획 바람재해 정보를 삭게한다.
   2-1. 풍수해저감종합계획 재해관리 화면으로 이동한다.</t>
  </si>
  <si>
    <t>1. 시군구별 총 강우량 관리 조회 화면을 보여준다.
2. 시군구별 총 강우량 관리 정보를 삭게한다.
   2-1. 시군구별 총 강우량 관리 목록 화면으로 이동한다.</t>
  </si>
  <si>
    <t>1. 풍수해저감종합계획 토사재해 수정 화면을 보여준다.
2. 풍수해저감종합계획 재토사해 정보를 수정한다.
   2-1. 풍수해저감종합계획 재해관리 화면으로 이동한다.</t>
  </si>
  <si>
    <t>1. 풍수해저감종합계획 하천재해 수정 화면을 보여준다.
2. 풍수해저감종합계획 재하천해 정보를 수정한다.
   2-1. 풍수해저감종합계획 재해관리 화면으로 이동한다.</t>
  </si>
  <si>
    <r>
      <t xml:space="preserve">피해시설물별 피해 원인 조건별 표출 </t>
    </r>
    <r>
      <rPr>
        <strike/>
        <sz val="10"/>
        <color rgb="FFFF0000"/>
        <rFont val="휴먼명조"/>
        <charset val="129"/>
      </rPr>
      <t>분석</t>
    </r>
  </si>
  <si>
    <r>
      <t xml:space="preserve">예측 유역 강우 지도 </t>
    </r>
    <r>
      <rPr>
        <strike/>
        <sz val="10"/>
        <color rgb="FFFF0000"/>
        <rFont val="휴먼명조"/>
        <charset val="129"/>
      </rPr>
      <t>등록</t>
    </r>
    <r>
      <rPr>
        <sz val="10"/>
        <color rgb="FFFF0000"/>
        <rFont val="휴먼명조"/>
        <charset val="129"/>
      </rPr>
      <t>(고도화) 표출</t>
    </r>
  </si>
  <si>
    <t>1. FAQ 조회 화면에서 수정버튼을 클릭한다.
2. FAQ 수정 화면을 보여준다.
   2-1. FAQ 수정 화면에서 저장버튼을 클릭한다.</t>
  </si>
  <si>
    <t>1. 공통상세코드 목록에서 해당 코드명을 선택한다.
2. 공통상세코드 목록을 조회한다.
3. 공통상세코드 조회 화면에서 삭제버튼을 클릭한다.</t>
  </si>
  <si>
    <t>사용자 강우, 시나리오, 외부 범람도 결과물 입력 등을 통한 호우 사전피해 모의 기능 개발, 피해예측 기능 개선,  사용자 교육 동영상 제공</t>
  </si>
  <si>
    <t>1. 공통상세코드 조회 화면에서 삭제버튼을 클릭한다.
2. 삭제 확인 메세지를 보여준다.
   2-1. 공통상세코드 삭제 버튼을 클릭한다.</t>
  </si>
  <si>
    <t>1. 관리자 페이지에 접속 -&gt; 시스템설정 -&gt; 다변량 피해함수 설정을 선택한다.
2. 지역 선택 -&gt; 권역 선택 -&gt; 삭제 버튼을 클릭한다.</t>
  </si>
  <si>
    <t>1. 사용자아이디 로그인 -&gt; 재난통계 선택 -&gt; 과거피해이력 추이분석 선택
2. 추이분석기간 선택 
3. 재해원인 선택
4. 검색버튼 클릭</t>
  </si>
  <si>
    <t xml:space="preserve">1. 사용자 교육 동영상 목록을 보여준다.
2. 사용자 교육 동영상 입력화면을 보야준다.
   2-1. 사용자 교육 동영상 정보를 저장한다.
</t>
  </si>
  <si>
    <t>1. 관리자 페이지에 접속 -&gt; 관리시스템 -&gt; 조건에서 차량을 선택 -&gt; 조회 버튼을 클릭한다.
2. 피해목적물관리(차량) 목록을 조회한다.</t>
  </si>
  <si>
    <t>M-NEMA-10-03-01
M-NEMA-10-02-01
M-NEMA-10-04-01
M-NEMA-10-05-01
M-NEMA-10-06-01</t>
  </si>
  <si>
    <t>1. 관리자 페이지에 접속 -&gt; 관리시스템 -&gt; 조건에서 하천을 선택 -&gt; 조회 버튼을 클릭한다.
2. 피해목적물관리(하천) 목록을 조회한다.</t>
  </si>
  <si>
    <t>1. 자료수집계획현황 조회 화면을 보여준다.
2. 자료수집계획현황 정보를 삭게한다.
   2-1. 자료수집계획현황 목록 화면으로 이동한다.</t>
  </si>
  <si>
    <t>1. 관리자 페이지에 접속 -&gt; 시스템설정 -&gt; 손실손상함수설정 선택한다.
2. 분야, 항목, 속성을 선택한다.
3. 검색 버튼 클릭한다.</t>
  </si>
  <si>
    <t>1. 관리자 페이지에 접속 -&gt; 관리시스템 -&gt; 조건에서 교통을 선택 -&gt; 조회 버튼을 클릭한다.
2. 피해목적물관리(교통) 목록을 조회한다.</t>
  </si>
  <si>
    <t>1. 자료수집계획현황 수정 화면을 보여준다.
2. 자료수집계획현황 정보를 수정한다.
   2-1. 자료수집계획현황 목록 화면으로 이동한다.</t>
  </si>
  <si>
    <t>1. facility_development_damage_analysis 함수 파라미터에 시험 데이터 값을 넣는다.
2. 함수를 실행한다.</t>
  </si>
  <si>
    <t>1. 관리자페이지 접속 -&gt; 시스템 설정 -&gt; 상황전파 메시지 전송설정
2. 호우피해 예측건, 재난통계 예측 건의 각 관리자 설정을 조회한다.</t>
  </si>
  <si>
    <t>1. 재난통계 가중치 목록에서 해당 지역을 선택한다.
2. 시설물 종류를 선택한다.
3. 검색 버튼을 클릭하여 재난통계 가중치를 조회한다.</t>
  </si>
  <si>
    <t>1. 관리자 페이지에 접속 -&gt; 시스템설정 -&gt; 손실손상함수 이력조회 선택한다.
2. 분야, 항목을 선택한다.
3. 검색 버튼 클릭한다.</t>
  </si>
  <si>
    <t>1. 관리자 페이지에 접속 -&gt; 관리시스템 -&gt; 조건에서 인구를 선택 -&gt; 조회 버튼을 클릭한다.
2. 피해목적물관리(인구) 목록을 조회한다.</t>
  </si>
  <si>
    <t>1. 시군구별 면적설정 수정화면을 보여준다.
2. 시군구별 면적설정 정보를 삭제한다.
   2-1. 시군구별 면적설정 목록 화면으로 이동한다.</t>
  </si>
  <si>
    <t>1. 사용자아이디 로그인 -&gt; 재난통계 선택 -&gt; 과거피해이력 추이분석 선택
2. 추이분석기간 선택 
3. 강우조건 선택
4. 검색버튼 클릭</t>
  </si>
  <si>
    <t>1. insert_sigungu_obs_fcst_tot_rainfall 함수 파라미터에 시험 데이터 값을 넣는다.
2. 함수를 실행한다.</t>
  </si>
  <si>
    <t>피해 시설물별 원인 설정 관리한다.</t>
  </si>
  <si>
    <t>해안(조위) 재해지도 파일 입력</t>
  </si>
  <si>
    <t>토지피복도 연계 정보를 관리 한다.</t>
  </si>
  <si>
    <t>피해 시설물별 원인 설정 및 관리</t>
  </si>
  <si>
    <t>피해 시설물별 원인 설정 수정</t>
  </si>
  <si>
    <t>신규 빈도별 풍수해 예측지도 표출</t>
  </si>
  <si>
    <t>관측 유역 강우 등록(고도화)</t>
  </si>
  <si>
    <t>시군구별/일자별 강우정보 맵핑 정보</t>
  </si>
  <si>
    <t>예측 유역 강우 지도 등록(고도화)</t>
  </si>
  <si>
    <t>교통시설 손실손상함수 속성정보 삭제</t>
  </si>
  <si>
    <t>피해목적물(인벤토리) 하천 정보</t>
  </si>
  <si>
    <t>중점관리구역 중첩 공간정보 표출</t>
  </si>
  <si>
    <t>지속시간별 최대강우량 생성 입력</t>
  </si>
  <si>
    <t>풍수해저감종합계획상의 사면재해 수정</t>
  </si>
  <si>
    <t>하천시설 손실손상함수 속성정보 삭제</t>
  </si>
  <si>
    <t>해안(조위) 재해지도 파일 삭제</t>
  </si>
  <si>
    <t>풍수해저감종합계획 내수재해위험지구</t>
  </si>
  <si>
    <t>하천 피해목적물(인벤토리) 입력</t>
  </si>
  <si>
    <t>시설피해내역
풍수해저감계획내역</t>
  </si>
  <si>
    <t>건물 손실손상함수 속성정보 조회</t>
  </si>
  <si>
    <t>지자체 별 관심지점(반경) 수정</t>
  </si>
  <si>
    <t>피해 시설물별 원인 관리 삭제</t>
  </si>
  <si>
    <t>건물 손실손상함수 속성정보 이력조회</t>
  </si>
  <si>
    <t>시군구별 다변량 피해함수 설정 수정</t>
  </si>
  <si>
    <t>차량 손실손상함수 속성정보 테이블</t>
  </si>
  <si>
    <t>풍수해저감종합계획 바람재해위험지구</t>
  </si>
  <si>
    <t>풍수해저감종합계획상의 바람재해 수정</t>
  </si>
  <si>
    <t>지속시간별 최대강우량 생성 테이블</t>
  </si>
  <si>
    <t>건물 손실손상함수 속성정보 테이블</t>
  </si>
  <si>
    <t>풍수해저감종합계획상의 하천재해 등록</t>
  </si>
  <si>
    <t>지자체 관심지점 관리
의사결정지원</t>
  </si>
  <si>
    <t>풍수해저감종합계획상의 내수재해 삭제</t>
  </si>
  <si>
    <t>하천시설 손실손상함수 속성정보 수정</t>
  </si>
  <si>
    <t>시군구별/일자별 강우정보 조회</t>
  </si>
  <si>
    <t>차량 손실손상함수 속성정보 수정</t>
  </si>
  <si>
    <t>1. 재난통계 피해예측현황 화면을 보여준다.
2. 피해추정 강우패턴에서 패턴보기를 통해 지속시간별 최대강우량 정보를 보여준다.</t>
  </si>
  <si>
    <t>1. 자원정보 -&gt; 빈도별 유사재해지도 검색 선택
2. 지역을 선택한다.
3. 빈도를 선택한다.
4. 검색 버튼을 클릭한다.</t>
  </si>
  <si>
    <t>피해목적물(인벤토리) 입력/일괄삭제 이력 조회(교통(철도/도로), 차량, 농작물, 라이프라인, 인구, 하천, 건물, 농경지)</t>
  </si>
  <si>
    <t>요구사항명 변경(NPS-NEMA-02-03(회의록-(20170927), NPS-NEMA-02-03(회의록-(20171026))</t>
  </si>
  <si>
    <t>1. 공통상세코드 조회 화면을 보여준다.
2. 공통상세코드 정보를 삭게한다.
   2-1. 공통상세코드 목록 화면으로 이동한다.</t>
  </si>
  <si>
    <t>1. 기상정보 -&gt; 예측/관측 강우를 선택한다.
2. 지역을 선택한다.
3. 기준 일시를 선택한다.
4. 검색 버튼을 클릭한다.</t>
  </si>
  <si>
    <t xml:space="preserve">1. 관리자 페이지에 접속 -&gt; 시스템설정 -&gt; 시군구별 면적설정을 선택한다.
2. 지역 선택 -&gt; 삭제 버튼을 클릭한다. </t>
  </si>
  <si>
    <t>1. 기상정보 -&gt; 수위/유량을 선택한다.
2. 지역을 선택한다.
3. 기준 일시를 선택한다.
4. 검색 버튼을 클릭한다.</t>
  </si>
  <si>
    <t>1. 시군구별 aws 관측소 설정에서 지역을 선택한다.
2. 검색 버튼 클릭 -&gt; 시군구별 aws 관측소 목록을 조회한다.</t>
  </si>
  <si>
    <t>1. 시군구별 표준유역강우 면적비/최대치 목록 화면 시군구에서 시도, 시군구, 표준유역을 선택한다.
2. 검색버튼을 클릭한다.</t>
  </si>
  <si>
    <t>1. sigungu_stn_rain_info_mapping 함수 파라미터에 시험 데이터 값을 넣는다.
2. 함수를 실행한다.</t>
  </si>
  <si>
    <t>1. 관리자 페이지에 접속 -&gt; 시스템설정 -&gt; 손실손상함수설정 선택한다.
2. 분야를 선택한다.
3. 검색 버튼 클릭한다.</t>
  </si>
  <si>
    <t>피해목적물(인벤토리) 입력/일괄삭제 이력 테이블(교통(철도/도로), 차량, 농작물, 라이프라인, 인구, 하천, 건물, 농경지)</t>
  </si>
  <si>
    <t>1. 사용자 페이지에 접속 -&gt; 재난통계 -&gt; 재난통계 피해예측현황을 클릭한다.
2. 피해추정 강우패턴에서 각 시도/시군구별 패턴보기를 클릭한다.
3. 팝업이 나오면서 지속시간별 최대강우량 정보가 나온다</t>
  </si>
  <si>
    <t xml:space="preserve">1. 관리자 페이지에 접속 -&gt; 관리시스템 -&gt; 조건에서 라이프라인을 선택 -&gt; 조회 버튼을 클릭한다.
2. 목록에서 상세보기 버튼 클릭 -&gt;  수정 버튼 클릭 -&gt; 속성정보 수정 -&gt; 저장 버튼 클릭 </t>
  </si>
  <si>
    <t>1. 시군구별 총 강우량 설정 목록화면에서 시도를 클릭한다.
2. 수정버튼을 클릭한다.
3. 시군구별 총 강우량 관리 수정 화면을 보여준다.
4. 시군구별 총 강우량 관리 수정 화면에서 저장버튼을 클릭한다.</t>
  </si>
  <si>
    <t>1. 사용자 페이지에 접속 -&gt; 재난통계 -&gt; 재난통계 피해예측현황을 클릭한다.
2. 피해추정 강우패턴에서 각 시도/시군구별 패턴보기를 클릭한다.
3. 팝업이 나오면서 일자별(1~7일) 강우량 정보가 나온다</t>
  </si>
  <si>
    <t>1. 풍수해저감종합계획 사면재해 수정 화면을 보여준다.
2. 풍수해저감종합계획 재사면해 정보를 수정한다.
   2-1. 풍수해저감종합계획 재해관리 화면으로 이동한다.</t>
  </si>
  <si>
    <t>M-NEMA-06-01-01
M-NEMA-07-01-01
M-NEMA-07-02-01
M-NEMA-07-03-01
M-NEMA-07-04-01
M-NEMA-07-05-01</t>
  </si>
  <si>
    <t>1. 풍수해저감종합계획 내수재해 수정 화면을 보여준다.
2. 풍수해저감종합계획 내수재해 정보를 삭게한다.
   2-1. 풍수해저감종합계획 재해관리 화면으로 이동한다.</t>
  </si>
  <si>
    <t>1. 관리자 페이지에 접속 -&gt; 관리시스템 -&gt; 공통상세코드를 선택한다.
2. 입력 버튼 클릭 -&gt;  공통상세코드 정보등록 화면에서 내용 입력 후 저장 버튼을 클릭한다.</t>
  </si>
  <si>
    <t xml:space="preserve">1. 시군구별 표준유역강우 면적비 목록을 보여준다.
2. 시군구별 표준유역강우 면적비 입력화면을 보여준다.
   2-1. 시군구별 표준유역강우 면적비 정보를 저장한다.
</t>
  </si>
  <si>
    <t>1. 풍수해저감종합계획 하천재해 수정 화면을 보여준다.
2. 풍수해저감종합계획 하천재해 정보를 삭게한다.
   2-1. 풍수해저감종합계획 재해관리 화면으로 이동한다.</t>
  </si>
  <si>
    <t>1. 시군구별 aws 관측소 설정 수정 화면을 보여준다.
2. 시군구별 aws 관측소 정보를 삭제한다.
   2-1. 시군구별 aws 관측소 설정 목록 화면으로 이동한다.</t>
  </si>
  <si>
    <t>1. 풍수해저감종합계획 사면재해 수정 화면을 보여준다.
2. 풍수해저감종합계획 사면재해 정보를 삭게한다.
   2-1. 풍수해저감종합계획 재해관리 화면으로 이동한다.</t>
  </si>
  <si>
    <t>PRG-NEMA-069</t>
  </si>
  <si>
    <t>피해목적물별 속성정보 관리</t>
  </si>
  <si>
    <t>PRG-NEMA-017</t>
  </si>
  <si>
    <t>M-NEMA-05-06-01</t>
  </si>
  <si>
    <t>UC-NEMA-016-03</t>
  </si>
  <si>
    <t>시군구별 면적설정 입력</t>
  </si>
  <si>
    <t>사용자 피해분석 결과 테이블</t>
  </si>
  <si>
    <t>UC-NEMA-016-02</t>
  </si>
  <si>
    <t>UTS-NEMA-048</t>
  </si>
  <si>
    <t>UTS-NEMA-019</t>
  </si>
  <si>
    <t>UC-NEMA-027-01</t>
  </si>
  <si>
    <t>UTS-NEMA-076</t>
  </si>
  <si>
    <t>UTS-NEMA-047</t>
  </si>
  <si>
    <t>UC-NEMA-026-02</t>
  </si>
  <si>
    <t>시군구별 AWS 관측소 설정</t>
  </si>
  <si>
    <t>UTS-NEMA-061</t>
  </si>
  <si>
    <t>PRG-NEMA-082</t>
  </si>
  <si>
    <t>의사결정 지원 조회 기능</t>
  </si>
  <si>
    <t>위험등급 분석결과 생성</t>
  </si>
  <si>
    <t>UTS-NEMA-054</t>
  </si>
  <si>
    <t>내수 재해지도 파일 입력</t>
  </si>
  <si>
    <t>CCD-NEMA-005</t>
  </si>
  <si>
    <t>피해목적물 피해액 분석</t>
  </si>
  <si>
    <t>UC-NEMA-003-01</t>
  </si>
  <si>
    <t>피해분석결과 이력 관리</t>
  </si>
  <si>
    <t>M-NEMA-11-08-01</t>
  </si>
  <si>
    <t>UC-NEMA-024-01</t>
  </si>
  <si>
    <t>사용자 교육 동영상 조회</t>
  </si>
  <si>
    <t>M-NEMA-03-01-01</t>
  </si>
  <si>
    <t>UC-NEMA-013-04</t>
  </si>
  <si>
    <t>UTS-NEMA-043</t>
  </si>
  <si>
    <t>CCD-NEMA-043</t>
  </si>
  <si>
    <t>UTS-NEMA-020</t>
  </si>
  <si>
    <t>CCD-NEMA-040</t>
  </si>
  <si>
    <t>PRG-NEMA-006</t>
  </si>
  <si>
    <t>PRG-NEMA-061</t>
  </si>
  <si>
    <t>피해추이 분석 및 표출</t>
  </si>
  <si>
    <t>PRG-NEMA-015</t>
  </si>
  <si>
    <t>CCD-NEMA-034</t>
  </si>
  <si>
    <t>M-NEMA-12-07-01</t>
  </si>
  <si>
    <t>PRG-NEMA-070</t>
  </si>
  <si>
    <t>M-NEMA-08-03-01</t>
  </si>
  <si>
    <t>PRG-NEMA-020</t>
  </si>
  <si>
    <t>VIQ-NEMA-041</t>
  </si>
  <si>
    <t>빈도별 유사 재해 지도 표출</t>
  </si>
  <si>
    <t>UC-NEMA-009-01</t>
  </si>
  <si>
    <t>CCD-NEMA-033</t>
  </si>
  <si>
    <t>사용자 교육 동영상 수정</t>
  </si>
  <si>
    <t>PRG-NEMA-035</t>
  </si>
  <si>
    <t>PRG-NEMA-005</t>
  </si>
  <si>
    <t>UC-NEMA-023-01</t>
  </si>
  <si>
    <t>UTS-NEMA-056</t>
  </si>
  <si>
    <t>UC-NEMA-013-03</t>
  </si>
  <si>
    <t>M-NEMA-11-05-01</t>
  </si>
  <si>
    <t>UTS-NEMA-063</t>
  </si>
  <si>
    <t>위험등급 분석결과 표출</t>
  </si>
  <si>
    <t>외부 범람도 결과물 테이블</t>
  </si>
  <si>
    <t>M-NEMA-11-07-01</t>
  </si>
  <si>
    <t>VIQ-NEMA-025</t>
  </si>
  <si>
    <t>PRG-NEMA-048</t>
  </si>
  <si>
    <t>CCD-NEMA-045</t>
  </si>
  <si>
    <t>PRG-NEMA-001</t>
  </si>
  <si>
    <t>M-NEMA-11-06-01</t>
  </si>
  <si>
    <t>PRG-NEMA-041</t>
  </si>
  <si>
    <t>VIQ-NEMA-011</t>
  </si>
  <si>
    <t>외부 범람도 결과물 삭제</t>
  </si>
  <si>
    <t>UTS-NEMA-031</t>
  </si>
  <si>
    <t>사용자 피해분석 결과 조회</t>
  </si>
  <si>
    <t>UC-NEMA-012-01</t>
  </si>
  <si>
    <t>UC-NEMA-029-01</t>
  </si>
  <si>
    <t>UTS-NEMA-035</t>
  </si>
  <si>
    <t>UTS-NEMA-041</t>
  </si>
  <si>
    <t>PRG-NEMA-084</t>
  </si>
  <si>
    <t>외부 범람도 결과물 수정</t>
  </si>
  <si>
    <t>지역별 취약인구 정보 삭제</t>
  </si>
  <si>
    <t>PRG-NEMA-030</t>
  </si>
  <si>
    <t>지역별 취약인구 정보 테이블</t>
  </si>
  <si>
    <t>M-NEMA-04-03-01</t>
  </si>
  <si>
    <t>UTS-NEMA-081</t>
  </si>
  <si>
    <t>M-NEMA-05-07-01</t>
  </si>
  <si>
    <t>1~6시간 피해물량 표출</t>
  </si>
  <si>
    <t>CCD-NEMA-017</t>
  </si>
  <si>
    <t>UC-NEMA-020-04</t>
  </si>
  <si>
    <t>UTS-NEMA-065</t>
  </si>
  <si>
    <t>60년, 70년, 90년</t>
  </si>
  <si>
    <t>UTS-NEMA-017</t>
  </si>
  <si>
    <t>UC-NEMA-012-02</t>
  </si>
  <si>
    <t>상황전파메세지 전송설정 관리</t>
  </si>
  <si>
    <t>UC-NEMA-013-05</t>
  </si>
  <si>
    <t>PRG-NEMA-034</t>
  </si>
  <si>
    <t>시군구별 추이분석기간 정보</t>
  </si>
  <si>
    <t>PRG-NEMA-051</t>
  </si>
  <si>
    <t>이중로그인 통계 테이블</t>
  </si>
  <si>
    <t>시군구별 면적설정 조회</t>
  </si>
  <si>
    <t>UTS-NEMA-067</t>
  </si>
  <si>
    <t>UTS-NEMA-005</t>
  </si>
  <si>
    <t>UC-NEMA-011-01</t>
  </si>
  <si>
    <t>CCD-NEMA-025</t>
  </si>
  <si>
    <t>1. 피해 시설물별 원인 관리 입력화면을 보여준다.
2. 피해 시설물별 원인 관리 정보를 입력한다.
   2-1. 피해 시설물별 원인 관리 정보를 저장한다.
   2-2. 피해 시설물별 원인 관리 목록 화면으로 이동한다.</t>
  </si>
  <si>
    <t>1. 피해 시설물별 원인 설정 목록화면 지역선택에서 시도, 시군구를 선택한다.
2. 설정버튼을 클릭한다.
3. 공공/사유 시설물 선택에서 시설물 피해액을 추가   -&gt; 재해유형을 체크한다.
4. 저장버튼을 클릭한다.</t>
  </si>
  <si>
    <t xml:space="preserve">1. 관리자 페이지에 접속 -&gt; 시스템설정 -&gt; 다변량 피해함수 설정을 선택한다.
2. 지역 선택 -&gt; 권역 선택 -&gt; 입력 버튼 클릭 
3. 다변량 피해함수 설정 등록 화면에서 내용 입력 후 저장 버튼을 클릭한다. </t>
  </si>
  <si>
    <t>1. 선택된 시군구의 추이분석 기간 안에 재해명(피해원인)에 맞는 과거피해 
   추이이력을 지도에 보여준다
2. 각 시설물의 지점을 클릭시 시설물의 정보를 표출한다
   2-1. 지역정보를 표출한다
   2-2. 피해원일을 표출한다.
   2-3. 해당시설물의 기간 중 최대 피해액을 표출한다.</t>
  </si>
  <si>
    <t>1. 선택된 시군구의 추이분석 기간 안에 재해원인에 맞는 과거피해 
   추이이력을 지도에 보여준다
2. 각 시설물의 지점을 클릭시 시설물의 정보를 표출한다
   2-1. 지역정보를 표출한다
   2-2. 피해원일을 표출한다.
   2-3. 해당시설물의 기간 중 최대 피해액을 표출한다.</t>
  </si>
  <si>
    <t>1. 선택된 시군구의 추이분석 기간 안에 강우조건에 맞는 과거피해 
   추이이력을 지도에 보여준다
2. 각 시설물의 지점을 클릭시 시설물의 정보를 표출한다
   2-1. 지역정보를 표출한다
   2-2. 피해원일을 표출한다.
   2-3. 해당시설물의 기간 중 최대 피해액을 표출한다.</t>
  </si>
  <si>
    <r>
      <t>위험등급</t>
    </r>
    <r>
      <rPr>
        <sz val="10"/>
        <color rgb="FF000000"/>
        <rFont val="휴먼명조"/>
        <charset val="129"/>
      </rPr>
      <t xml:space="preserve"> 분석결과 생성</t>
    </r>
  </si>
  <si>
    <r>
      <t>위험등급</t>
    </r>
    <r>
      <rPr>
        <sz val="10"/>
        <color rgb="FF000000"/>
        <rFont val="휴먼명조"/>
        <charset val="129"/>
      </rPr>
      <t xml:space="preserve"> 분석결과 이력 삭제</t>
    </r>
  </si>
  <si>
    <r>
      <t>위험등급</t>
    </r>
    <r>
      <rPr>
        <sz val="10"/>
        <color rgb="FF000000"/>
        <rFont val="휴먼명조"/>
        <charset val="129"/>
      </rPr>
      <t xml:space="preserve"> 분석결과 이력 조회</t>
    </r>
  </si>
  <si>
    <r>
      <t>위험등급</t>
    </r>
    <r>
      <rPr>
        <sz val="10"/>
        <color rgb="FF000000"/>
        <rFont val="휴먼명조"/>
        <charset val="129"/>
      </rPr>
      <t xml:space="preserve"> 분석결과 표출</t>
    </r>
  </si>
  <si>
    <r>
      <t xml:space="preserve">상황전파메세지 전송설정 </t>
    </r>
    <r>
      <rPr>
        <sz val="10"/>
        <color rgb="FF000000"/>
        <rFont val="휴먼명조"/>
        <charset val="129"/>
      </rPr>
      <t>입력</t>
    </r>
  </si>
  <si>
    <r>
      <t xml:space="preserve">상황전파메세지 전송설정 </t>
    </r>
    <r>
      <rPr>
        <sz val="10"/>
        <color rgb="FF000000"/>
        <rFont val="휴먼명조"/>
        <charset val="129"/>
      </rPr>
      <t>수정</t>
    </r>
  </si>
  <si>
    <r>
      <t xml:space="preserve">상황전파메세지 전송설정 </t>
    </r>
    <r>
      <rPr>
        <sz val="10"/>
        <color rgb="FF000000"/>
        <rFont val="휴먼명조"/>
        <charset val="129"/>
      </rPr>
      <t>삭제</t>
    </r>
  </si>
  <si>
    <r>
      <t xml:space="preserve">상황전파메세지 전송설정 </t>
    </r>
    <r>
      <rPr>
        <sz val="10"/>
        <color rgb="FF000000"/>
        <rFont val="휴먼명조"/>
        <charset val="129"/>
      </rPr>
      <t>조회</t>
    </r>
  </si>
  <si>
    <t>UTS-NEMA-071</t>
  </si>
  <si>
    <t>위험등급 분석결과 이력 삭제</t>
  </si>
  <si>
    <t>UTS-NEMA-014</t>
  </si>
  <si>
    <t>CCD-NEMA-023</t>
  </si>
  <si>
    <t>사용자 교육 동영상 삭제</t>
  </si>
  <si>
    <t>내수 재해지도 파일 삭제</t>
  </si>
  <si>
    <t>UTS-NEMA-077</t>
  </si>
  <si>
    <t>UC-NEMA-028-04</t>
  </si>
  <si>
    <t>재난통계조회
지번 위치검색</t>
  </si>
  <si>
    <t>시험결과
(적합/부적합)</t>
  </si>
  <si>
    <t>shp, dbf 파일 확인</t>
  </si>
  <si>
    <t>1. 선택된 시군구의 추이분석 기간 안에 재해명(피해원인)에 맞는 정보를 
   차트에 표출한다
2. 강우량 정보와 피해액을 일자별로 막대와 선형차트로 표출한다
   2-1. 재해명(피해원인)에 맞는 강우량을 선형 차트로 표출한다
   2-2. 피해액은 막대 차트로 표출한다</t>
  </si>
  <si>
    <t>1. 선택된 시군구의 추이분석 기간 안에 해당하는 과거피해 추이이력을 
   지도에 보여준다
2. 각 시설물의 지점을 클릭시 시설물의 정보를 표출한다
   2-1. 지역정보를 표출한다
   2-2. 피해원일을 표출한다.
   2-3. 해당시설물의 기간 중 최대 피해액을 표출한다.</t>
  </si>
  <si>
    <t>내수범람도</t>
  </si>
  <si>
    <t>테스트 기간</t>
  </si>
  <si>
    <t>배치프로그램</t>
  </si>
  <si>
    <t>외부범람도설정</t>
  </si>
  <si>
    <t>시나리오명</t>
  </si>
  <si>
    <t>프로그램ID</t>
  </si>
  <si>
    <t>메뉴ID</t>
  </si>
  <si>
    <t>케이스명</t>
  </si>
  <si>
    <t>공통코드 삭제</t>
  </si>
  <si>
    <t>피해함수설정</t>
  </si>
  <si>
    <t>분석기능</t>
  </si>
  <si>
    <t>위험등급 관리</t>
  </si>
  <si>
    <t>업무처리내용</t>
  </si>
  <si>
    <t>내수재해 정보</t>
  </si>
  <si>
    <t>예상결과</t>
  </si>
  <si>
    <t>작성일자</t>
  </si>
  <si>
    <t>상황전파메신저</t>
  </si>
  <si>
    <t>토사재해 정보</t>
  </si>
  <si>
    <t>공통코드 수정</t>
  </si>
  <si>
    <t>메뉴구조도</t>
  </si>
  <si>
    <t>v.1.0</t>
  </si>
  <si>
    <t>설계/구현</t>
  </si>
  <si>
    <t>단위시험ID</t>
  </si>
  <si>
    <t>유스케이스명</t>
  </si>
  <si>
    <t>사면재해 정보</t>
  </si>
  <si>
    <t>시스템 관리자</t>
  </si>
  <si>
    <t>기능(관리자)</t>
  </si>
  <si>
    <t>??????</t>
  </si>
  <si>
    <t>재난통계조회</t>
  </si>
  <si>
    <t>클래스명세서</t>
  </si>
  <si>
    <t>상황전파메세지</t>
  </si>
  <si>
    <t>시험절차</t>
  </si>
  <si>
    <t>외수범람지도</t>
  </si>
  <si>
    <t>화면ID</t>
  </si>
  <si>
    <t>AWS 강우</t>
  </si>
  <si>
    <t>범람유형,빈도</t>
  </si>
  <si>
    <t>통합시험ID</t>
  </si>
  <si>
    <t>프로그램명세서</t>
  </si>
  <si>
    <t>PASS</t>
  </si>
  <si>
    <t>기능진척율</t>
  </si>
  <si>
    <t>화면정의서</t>
  </si>
  <si>
    <t>통합시험결과서</t>
  </si>
  <si>
    <t>일반사용자</t>
  </si>
  <si>
    <t>외수범람도</t>
  </si>
  <si>
    <t>의사결정지원</t>
  </si>
  <si>
    <t>공통코드관리</t>
  </si>
  <si>
    <t>DEM 연계</t>
  </si>
  <si>
    <t>관측강우</t>
  </si>
  <si>
    <t>공통코드 조회</t>
  </si>
  <si>
    <t>FAQ 게시판</t>
  </si>
  <si>
    <t>유스케이스ID</t>
  </si>
  <si>
    <t>피해함수 설정</t>
  </si>
  <si>
    <t>수행일자</t>
  </si>
  <si>
    <t>공통코드 입력</t>
  </si>
  <si>
    <t>요구사항정의서</t>
  </si>
  <si>
    <t>해안재해 정보</t>
  </si>
  <si>
    <t>바람재해 정보</t>
  </si>
  <si>
    <t>클래스명</t>
  </si>
  <si>
    <t>피해목적물</t>
  </si>
  <si>
    <t>분야, 항목</t>
  </si>
  <si>
    <t>설계필요</t>
  </si>
  <si>
    <t>시나리오ID</t>
  </si>
  <si>
    <t>요구사항명</t>
  </si>
  <si>
    <t>외부 범람도</t>
  </si>
  <si>
    <t>케이스ID</t>
  </si>
  <si>
    <t>사전조건</t>
  </si>
  <si>
    <t>완료여부</t>
  </si>
  <si>
    <t>인벤토리설정</t>
  </si>
  <si>
    <t>기준빈도 입력</t>
  </si>
  <si>
    <t>2차 시험</t>
  </si>
  <si>
    <t>입력자료</t>
  </si>
  <si>
    <t>내수범람지도</t>
  </si>
  <si>
    <t>클래스ID</t>
  </si>
  <si>
    <t>다변량요소설정</t>
  </si>
  <si>
    <t>회원정보관리</t>
  </si>
  <si>
    <t>바이너리파일</t>
  </si>
  <si>
    <t>통합테스트</t>
  </si>
  <si>
    <t>전체진척율</t>
  </si>
  <si>
    <t>예측강우</t>
  </si>
  <si>
    <t>피해분석결과</t>
  </si>
  <si>
    <t>수신일자</t>
  </si>
  <si>
    <t>1차 시험</t>
  </si>
  <si>
    <t>요구사항ID</t>
  </si>
  <si>
    <t>요구정의</t>
  </si>
  <si>
    <t>연계로그</t>
  </si>
  <si>
    <t>공통코드 관리</t>
  </si>
  <si>
    <t>시험항목</t>
  </si>
  <si>
    <t>토양도 연계</t>
  </si>
  <si>
    <t>자료현황관리</t>
  </si>
  <si>
    <t>요구구분</t>
  </si>
  <si>
    <t>시스템관리자</t>
  </si>
  <si>
    <t>xml 파일</t>
  </si>
  <si>
    <t>통합시험명</t>
  </si>
  <si>
    <t>가중치 관리</t>
  </si>
  <si>
    <t>미완료사유</t>
  </si>
  <si>
    <t>작업권한</t>
  </si>
  <si>
    <t>시험데이터</t>
  </si>
  <si>
    <t>시스템명</t>
  </si>
  <si>
    <t>단위시험명</t>
  </si>
  <si>
    <t>수위&amp;유량</t>
  </si>
  <si>
    <t>시도,시군구</t>
  </si>
  <si>
    <t>위험등급데이터</t>
  </si>
  <si>
    <t>하천재해 정보</t>
  </si>
  <si>
    <t>김도성 완료</t>
  </si>
  <si>
    <t>메일전달 필요</t>
  </si>
  <si>
    <t>요구사항 ID</t>
  </si>
  <si>
    <t>프로그램명</t>
  </si>
  <si>
    <t>단위테스트</t>
  </si>
  <si>
    <t>시군구별 다변량 피해함수 설정 테이블</t>
  </si>
  <si>
    <t>신규 빈도별 풍수해 예측 지도 이력 관리</t>
  </si>
  <si>
    <t>피해시설물 별 과거 피해원인을 조회한다.</t>
  </si>
  <si>
    <t>교통(철도) 피해목적물(인벤토리) 일괄삭제</t>
  </si>
  <si>
    <t>시군구(읍면동)별 AWS 관측소 설정 입력</t>
  </si>
  <si>
    <t>라이프라인 피해목적물(인벤토리) 지도 표출</t>
  </si>
  <si>
    <t>사용자 농작물 손실손상함수 속성정보 입력</t>
  </si>
  <si>
    <t>피해목적물별 손실손상함수 속성정보 이력조회</t>
  </si>
  <si>
    <t>시군구(읍면동)별 AWS 관측소 설정 삭제</t>
  </si>
  <si>
    <t>라이프라인 피해목적물(인벤토리) 테이블</t>
  </si>
  <si>
    <t>재해예방사업 전/후 결과분석 레포트 삭제</t>
  </si>
  <si>
    <t>손실손상함수 속성정보 이력을 조회 한다.</t>
  </si>
  <si>
    <t>차량 피해목적물(인벤토리) 지도 표출</t>
  </si>
  <si>
    <t>사용자 건물 손실손상함수 속성정보 삭제</t>
  </si>
  <si>
    <t>NDMS 지자체/유관기관 비상연락망 테이블</t>
  </si>
  <si>
    <t>선행 강우량 7일치
시군구 코드
분석일자</t>
  </si>
  <si>
    <t>사용자 교통시설 손실손상함수 속성정보 조회</t>
  </si>
  <si>
    <t>시군구별 공공시설 피해액 가중치 설정 관리</t>
  </si>
  <si>
    <t>시군구별 다변량 호우피해분석 피해함수 관리</t>
  </si>
  <si>
    <t>배포판 피해목적물(인벤토리) 분석기능</t>
  </si>
  <si>
    <t>농작물 피해목적물(인벤토리) 지도 표출</t>
  </si>
  <si>
    <t>하천 피해목적물(인벤토리) 지도 표출</t>
  </si>
  <si>
    <t>예측 유역 강우 리포트 표출기능(고도화)</t>
  </si>
  <si>
    <t>풍수해저감종합계획상의 해안재해 테이블</t>
  </si>
  <si>
    <t>관측 유역 강우 리포트 기능(고도화)</t>
  </si>
  <si>
    <t>시군구(읍면동)별/재해일자별 강우정보 조회</t>
  </si>
  <si>
    <t>사용자 인구 손실손상함수 속성정보 입력</t>
  </si>
  <si>
    <t xml:space="preserve">한국토지정보시스템(KLIS) 지번 POI </t>
  </si>
  <si>
    <t>지속시간별 최대강우량 생성을 관리 한다.</t>
  </si>
  <si>
    <t>1. 권한별 메뉴생성 목록을 보여준다.</t>
  </si>
  <si>
    <t>NDMS 지자체/유관기관 비상연락망 연계</t>
  </si>
  <si>
    <t>시군구(읍면동)별 AWS 관측소 설정 수정</t>
  </si>
  <si>
    <t>하천시설 손실손상함수 속성정보 테이블</t>
  </si>
  <si>
    <t>사용자 하천시설 손실손상함수 속성정보 입력</t>
  </si>
  <si>
    <t>과거 모의 시뮬레이션 분석 결과 저장</t>
  </si>
  <si>
    <t>사용자 인구 손실손상함수 속성정보 조회</t>
  </si>
  <si>
    <t>피해 시설물별 재해유형번호 재해유형 정보</t>
  </si>
  <si>
    <t>지자체 별 관심지점(반경) 입력 기능</t>
  </si>
  <si>
    <t>교통 피해목적물(인벤토리) 개별 피해액산정</t>
  </si>
  <si>
    <t>사용자 농작물 손실손상함수 속성정보 수정</t>
  </si>
  <si>
    <t>피해목적물(인벤토리) 지도를 표출 한다.</t>
  </si>
  <si>
    <t>라이프라인 손실손상함수 속성정보 조회</t>
  </si>
  <si>
    <t>농작물 손실손상함수 속성정보 이력조회</t>
  </si>
  <si>
    <t>사전피해예측과 시나리오 기반 피해결과 비교</t>
  </si>
  <si>
    <t>라이프라인 손실손상함수 속성정보 테이블</t>
  </si>
  <si>
    <t>예측 유역 강우 테이블 표출(고도화)</t>
  </si>
  <si>
    <t>1. 모니터링화면의 연계 결과를 확인한다.</t>
  </si>
  <si>
    <t>라이프라인 손실손상함수 속성정보 이력조회</t>
  </si>
  <si>
    <t>라이프라인 손실손상함수 속성정보 수정</t>
  </si>
  <si>
    <t>재해예방사업 전/후 결과분석 레포트 출력</t>
  </si>
  <si>
    <t>풍수해저감종합계획상의 재해위험지구 조회</t>
  </si>
  <si>
    <t>시군구별 일자별(1~7일) 강우량 정보</t>
  </si>
  <si>
    <t>지역별 취약인구 정보 연계(오프라인)</t>
  </si>
  <si>
    <t>위험등급 리스트에서 해당 등급을 삭제한다.</t>
  </si>
  <si>
    <t>1. 보간(내삽)범람지도를 보여준다.</t>
  </si>
  <si>
    <t>사용자 농작물 손실손상함수 속성정보 삭제</t>
  </si>
  <si>
    <t>1. 1~6시간 침수예상도를 보여준다.</t>
  </si>
  <si>
    <t>사용자 건물 손실손상함수 속성정보 수정</t>
  </si>
  <si>
    <t>교통(철도) 피해목적물(인벤토리) 테이블</t>
  </si>
  <si>
    <t>지자체 별 관심지점(반경) 조회(지도)</t>
  </si>
  <si>
    <t>관측 유역 강우 테이블 표출(고도화)</t>
  </si>
  <si>
    <t>라이프라인 손실손상함수 속성정보 입력</t>
  </si>
  <si>
    <t>하천 피해목적물(인벤토리) 개별 피해액산정</t>
  </si>
  <si>
    <t>피해목적물별 손실손상함수 속성정보 관리</t>
  </si>
  <si>
    <t>사용자 교통시설 손실손상함수 속성정보 입력</t>
  </si>
  <si>
    <t>피해목적물 피해액 산정 결과 테이블 확인</t>
  </si>
  <si>
    <t>관측 유역 강우 통계 속성 추가(고도화)</t>
  </si>
  <si>
    <t>1~6시간 침수예상도,피해물량,피해액표출</t>
  </si>
  <si>
    <t>사용자 교통시설 손실손상함수 속성정보 수정</t>
  </si>
  <si>
    <t xml:space="preserve">교통 피해목적물(인벤토리) 피해액분석 </t>
  </si>
  <si>
    <t>사용자 건물 손실손상함수 속성정보 이력조회</t>
  </si>
  <si>
    <t>호우 사전피해예측 분석결과 이력 조회</t>
  </si>
  <si>
    <t>호우 사전피해예측 분석결과 이력 테이블</t>
  </si>
  <si>
    <t>사용자 건물 손실손상함수 속성정보 입력</t>
  </si>
  <si>
    <t>시군구(읍면동)별/재해일자별 강우정보 생성</t>
  </si>
  <si>
    <t>사용자 인구 손실손상함수 속성정보 수정</t>
  </si>
  <si>
    <t>1. 1~6시간 피해물량을 보여준다.</t>
  </si>
  <si>
    <t>시군구(읍면동)별 AWS 관측소 설정 조회</t>
  </si>
  <si>
    <t>예측 유역 강우 통계 속성 추가(고도화)</t>
  </si>
  <si>
    <t xml:space="preserve">하천 피해목적물(인벤토리) 피해액분석 </t>
  </si>
  <si>
    <t>시군구별(읍면동) 피해 원인 조건별 표출</t>
  </si>
  <si>
    <t>라이프라인 피해목적물(인벤토리) 일괄삭제</t>
  </si>
  <si>
    <t>지자체 별 관심지점(반경) 조회(리스트)</t>
  </si>
  <si>
    <t>사용자 차량 손실손상함수 속성정보 삭제</t>
  </si>
  <si>
    <t>NDMS 재해대장 피해시설물별 POI 생성</t>
  </si>
  <si>
    <t>차량 피해목적물(인벤토리) 개별 피해액산정</t>
  </si>
  <si>
    <t>사용자 교통시설 손실손상함수 속성정보 삭제</t>
  </si>
  <si>
    <t>시군구별 관측/예측강우 일자별 강우량 관리</t>
  </si>
  <si>
    <t>시군구별 과거 피해원인 목록을 조회한다.</t>
  </si>
  <si>
    <t>사용자 차량 손실손상함수 속성정보 조회</t>
  </si>
  <si>
    <t>내수/외수 빈도별 과거 피해예측 결과조회</t>
  </si>
  <si>
    <t>시군구별 표준유역강우 면적비/최대치 관리</t>
  </si>
  <si>
    <t>풍수해저감종합계획상의 하천재해 테이블</t>
  </si>
  <si>
    <t>시군구별/재해일자별/시간별 강우 조회</t>
  </si>
  <si>
    <t>피해목적물(인벤토리) 라이프라인 정보</t>
  </si>
  <si>
    <t>교통(철도) 피해목적물(인벤토리) 입력</t>
  </si>
  <si>
    <t>시군구별 사유시설 피해액 가중치 설정 관리</t>
  </si>
  <si>
    <t>호우 사전피해예측지도 테이블(5m*5m)</t>
  </si>
  <si>
    <t>사용자 농작물 손실손상함수 속성정보 테이블</t>
  </si>
  <si>
    <t>내수 재해지도 파일 정보를 관리 한다.</t>
  </si>
  <si>
    <t>인구 피해목적물(인벤토리) 지도 표출</t>
  </si>
  <si>
    <t>사전피해예측과 시나리오기반 피해결과비교</t>
  </si>
  <si>
    <t>NDMS 지자체/유관기관 비상연락망 수정</t>
  </si>
  <si>
    <t>호우 사전피해예측지도 테이블(1m*1m)</t>
  </si>
  <si>
    <t>모의 시뮬레이션 모드 분석 결과 통계 분석</t>
  </si>
  <si>
    <t xml:space="preserve">농경지 피해목적물(인벤토리) 피해액분석 </t>
  </si>
  <si>
    <t>사전 모의 시뮬레이션 예방 기능 신규 개발</t>
  </si>
  <si>
    <t>1. 초단기 예측강우 수신현황을 보여준다.</t>
  </si>
  <si>
    <t>해안(조위) 재해지도 입력 이력 테이블</t>
  </si>
  <si>
    <t>농경지 손실손상함수 속성정보 이력조회</t>
  </si>
  <si>
    <t xml:space="preserve">인구 피해목적물(인벤토리) 피해액분석 </t>
  </si>
  <si>
    <t>사용자 하천시설 손실손상함수 속성정보 조회</t>
  </si>
  <si>
    <t>사용자 교육 동영상 관리
배포판 다운로드</t>
  </si>
  <si>
    <t xml:space="preserve">차량 피해목적물(인벤토리) 피해액분석 </t>
  </si>
  <si>
    <t>시군구(읍면동)별/일자별 강우정보 맵핑</t>
  </si>
  <si>
    <t>사용자 인구 손실손상함수 속성정보 이력조회</t>
  </si>
  <si>
    <t>사용자 차량 손실손상함수 속성정보 수정</t>
  </si>
  <si>
    <t>사용자 하천시설 손실손상함수 속성정보 삭제</t>
  </si>
  <si>
    <t>사용자 인구 손실손상함수 속성정보 삭제</t>
  </si>
  <si>
    <t>사용자 손실손상함수 속성정보를 관리 한다.</t>
  </si>
  <si>
    <t>인구 피해목적물(인벤토리) 개별 피해액산정</t>
  </si>
  <si>
    <t>재해예방사업 전/후 결과분석 레포트 테이블</t>
  </si>
  <si>
    <t>풍수해저감종합계획상의 토사재해 테이블</t>
  </si>
  <si>
    <t>사용자 농작물 손실손상함수 속성정보 조회</t>
  </si>
  <si>
    <t>교통시설 손실손상함수 속성정보 테이블</t>
  </si>
  <si>
    <t>풍수해저감종합계획상의 재해를 관리 한다.</t>
  </si>
  <si>
    <t>NDMS 지자체/유관기관 비상연락망 삭제</t>
  </si>
  <si>
    <t>사용자 건물 손실손상함수 속성정보 테이블</t>
  </si>
  <si>
    <t>풍수해저감종합계획상의 재해위험지구 관리</t>
  </si>
  <si>
    <t>풍수해저감종합계획상의 사면재해 테이블</t>
  </si>
  <si>
    <t>사용자 인구 손실손상함수 속성정보 테이블</t>
  </si>
  <si>
    <t>선택 피해목적물(인벤토리)별 피해분석</t>
  </si>
  <si>
    <t>지자체 별 관심지점 목록을 조회한다.</t>
  </si>
  <si>
    <t>재해예방사업 피해 분석 전/후 결과 표출</t>
  </si>
  <si>
    <t>피해목적물 피해액 산정 결과 파일 확인</t>
  </si>
  <si>
    <t>교통시설 손실손상함수 속성정보 이력조회</t>
  </si>
  <si>
    <t>1. 해당 조회 정보 삭제버튼을 클릭한다.</t>
  </si>
  <si>
    <t>시군구별별 피해시설물별 피해추이분석 조회</t>
  </si>
  <si>
    <t>1. 호우 사전피해예측지도
2. 강우</t>
  </si>
  <si>
    <t>사용자 차량 손실손상함수 속성정보 테이블</t>
  </si>
  <si>
    <t>사용자 차량 손실손상함수 속성정보 입력</t>
  </si>
  <si>
    <t xml:space="preserve">농작물 피해목적물(인벤토리) 피해액분석 </t>
  </si>
  <si>
    <t>라이프라인 손실손상함수 속성정보 삭제</t>
  </si>
  <si>
    <t>재해예방사업 전/후 결과분석 레포트 관리</t>
  </si>
  <si>
    <t>사용자 피해목적물(인벤토리) 관리기능</t>
  </si>
  <si>
    <t>시군구(읍면동)별 피해시설물 지도표출</t>
  </si>
  <si>
    <t>사용자 차량 손실손상함수 속성정보 이력조회</t>
  </si>
  <si>
    <t>예측 유역 강우 테이블 등록(고도화)</t>
  </si>
  <si>
    <t>NDMS 지자체/유관기관 비상연락망 조회</t>
  </si>
  <si>
    <t xml:space="preserve">1. 예측/관측 강우 화면을 보여준다.
</t>
  </si>
  <si>
    <t>풍수해저감종합계획상의 내수재해 테이블</t>
  </si>
  <si>
    <t>1. 시간별 생성되는 shp, dbf 확인</t>
  </si>
  <si>
    <t>사용자 하천시설 손실손상함수 속성정보 수정</t>
  </si>
  <si>
    <t xml:space="preserve">건물 피해목적물(인벤토리) 피해액분석 </t>
  </si>
  <si>
    <t>호우피해 예측현황
호우피해분석 가중치 설정</t>
  </si>
  <si>
    <t>1.읍면동을 선택하면 침수예상지도 표출</t>
  </si>
  <si>
    <t>하천시설 손실손상함수 속성정보 이력조회</t>
  </si>
  <si>
    <t>시군구별 총강우량 설정을 관리 한다.</t>
  </si>
  <si>
    <t>인벤토리설정
피해시설물 인벤토리 관리</t>
  </si>
  <si>
    <t>라이프라인 피해목적물(인벤토리) 입력</t>
  </si>
  <si>
    <t>사용자 건물 손실손상함수 속성정보 조회</t>
  </si>
  <si>
    <t>재해예방사업 전/후 결과분석 레포트 조회</t>
  </si>
  <si>
    <t>사용자 선택기반  모의 시뮬레이션 분석</t>
  </si>
  <si>
    <t>풍수해저감종합계획상의 바람재해 테이블</t>
  </si>
  <si>
    <t>동일한 사용자가 이중로그인 차단하는 기능</t>
  </si>
  <si>
    <t>외수 재해지도 파일 정보를 관리 한다.</t>
  </si>
  <si>
    <t>농작물 피해목적물(인벤토리) 일괄삭제</t>
  </si>
  <si>
    <t>호우 사전피해예측지도 정보를 관리 한다.</t>
  </si>
  <si>
    <t>관측 유역 강우 테이블 등록(고도화)</t>
  </si>
  <si>
    <t>신규 빈도별 풍수해 예측지도 이력 표출</t>
  </si>
  <si>
    <t>풍수해저감종합계획상의 하천재해 삭제</t>
  </si>
  <si>
    <t>피해목적물(인벤토리) 인구 정보</t>
  </si>
  <si>
    <t>사용자 입력 재해지도 피해분석</t>
  </si>
  <si>
    <t>인구 손실손상함수 속성정보 조회</t>
  </si>
  <si>
    <t>시군구(읍면동)별 피해추이 차트표출</t>
  </si>
  <si>
    <t>상용침수해석모형 분석결과 관리기능</t>
  </si>
  <si>
    <t>피해목적물별 손실손상함수 관리기능</t>
  </si>
  <si>
    <t>시군구별 표준유역강우 면적비 설정</t>
  </si>
  <si>
    <t>인구 손실손상함수 속성정보 입력</t>
  </si>
  <si>
    <t>하천 피해목적물(인벤토리) 일괄삭제</t>
  </si>
  <si>
    <t>지자체 별 관심지점(반경) 테이블</t>
  </si>
  <si>
    <t>피해금액별 과거 피해예측 결과조회</t>
  </si>
  <si>
    <t>DEM 연계 정보를 관리 한다.</t>
  </si>
  <si>
    <t>외부 범람도 결과물 관리 기능</t>
  </si>
  <si>
    <t>풍수해저감종합계획상의 바람재해 등록</t>
  </si>
  <si>
    <t>예측 유역 강우 표출(고도화)</t>
  </si>
  <si>
    <t>차량 손실손상함수 속성정보 입력</t>
  </si>
  <si>
    <t>인구 손실손상함수 속성정보 삭제</t>
  </si>
  <si>
    <t>1~6시간 침수예상도 표출 한다.</t>
  </si>
  <si>
    <t>피해물량계산식, 피해금액계산식</t>
  </si>
  <si>
    <t>관측 유역 강우 지도 표출(고도화)</t>
  </si>
  <si>
    <t>인구 피해목적물(인벤토리) 입력</t>
  </si>
  <si>
    <t>관측 유역 강우 차트 표출(고도화)</t>
  </si>
  <si>
    <t>풍수해저감종합계획상의 내수재해 등록</t>
  </si>
  <si>
    <t>풍수해저감종합계획상의 바람재해 삭제</t>
  </si>
  <si>
    <t>시군구별 다변량 피해함수 설정 정보</t>
  </si>
  <si>
    <t>풍수해저감종합계획상의 내수재해 수정</t>
  </si>
  <si>
    <t>관측 유역 강우 표출(고도화)</t>
  </si>
  <si>
    <t>풍수해저감종합계획상의 사면재해 등록</t>
  </si>
  <si>
    <t>피해 시설물별 원인 설정 관리</t>
  </si>
  <si>
    <t>선택 조건별 침수예상지도 불러오기</t>
  </si>
  <si>
    <t>피해 시설물별 원인 설정 입력</t>
  </si>
  <si>
    <t>인구 피해목적물(인벤토리) 일괄삭제</t>
  </si>
  <si>
    <t>농작물 피해목적물(인벤토리) 테이블</t>
  </si>
  <si>
    <t>한국토지정보시스템 지번 POI 생성</t>
  </si>
  <si>
    <t>피해 시설물별 원인 관리 입력</t>
  </si>
  <si>
    <t>재난통계 과거피해이력 추이분석</t>
  </si>
  <si>
    <t>교통시설 손실손상함수 속성정보 수정</t>
  </si>
  <si>
    <t>피해목적물 Web Service</t>
  </si>
  <si>
    <t>NDMS 재해대장 온라인 연계</t>
  </si>
  <si>
    <t>건물 손실손상함수 속성정보 삭제</t>
  </si>
  <si>
    <t>풍수해저감종합계획상의 해안재해 등록</t>
  </si>
  <si>
    <t>1.연계 정보의 로그를 확인한다.</t>
  </si>
  <si>
    <t>차량 피해목적물(인벤토리) 일괄삭제</t>
  </si>
  <si>
    <t>교통시설 손실손상함수 속성정보 입력</t>
  </si>
  <si>
    <t>피해발생일시
피해종료일시
시군구코드</t>
  </si>
  <si>
    <t>1. 1~6시간 피해액을 보여준다.</t>
  </si>
  <si>
    <t>인구 손실손상함수 속성정보 이력조회</t>
  </si>
  <si>
    <t>호우 사전피해예측 분석 유역 설정</t>
  </si>
  <si>
    <t>초단기 예측 강우 연계 파일 파싱</t>
  </si>
  <si>
    <t>시군구별 다변량 피해함수 설정 조회</t>
  </si>
  <si>
    <t>예측, 관측, 초단기 유역강우 조회</t>
  </si>
  <si>
    <t>농작물 손실손상함수 속성정보 입력</t>
  </si>
  <si>
    <t>시군별 과거 피해예측 결과조회</t>
  </si>
  <si>
    <t>1. 해당 전송설정값으로 저장된다.</t>
  </si>
  <si>
    <t>상황전파메신저정책관리
상황전파메신저</t>
  </si>
  <si>
    <t>교통시설 손실손상함수 속성정보 조회</t>
  </si>
  <si>
    <t>상황전파메세지 전송설정 테이블</t>
  </si>
  <si>
    <t>사용자 교육 동영상을 관리 한다.</t>
  </si>
  <si>
    <t>시군구별(읍면동) 피해 추이분석</t>
  </si>
  <si>
    <t>농작물 손실손상함수 속성정보 수정</t>
  </si>
  <si>
    <t>예측 유역 강우 차트 표출(고도화)</t>
  </si>
  <si>
    <t>하천시설 손실손상함수 속성정보 입력</t>
  </si>
  <si>
    <t>사용자 피해목적물(인벤토리) 설정</t>
  </si>
  <si>
    <t>지자체 별 관심지점(반경) 삭제</t>
  </si>
  <si>
    <t>외수 재해지도 입력 이력 테이블</t>
  </si>
  <si>
    <t>시간대별 사전피해예측결과 표출</t>
  </si>
  <si>
    <t xml:space="preserve">피해 시설물별 원인 관리 한다. </t>
  </si>
  <si>
    <t>내수 재해지도 입력 이력 테이블</t>
  </si>
  <si>
    <t>관측소별 시간별 수위 추이분석</t>
  </si>
  <si>
    <t>풍수해저감종합계획 사면재해위험지구</t>
  </si>
  <si>
    <t>피해 시설물별 원인 관리 조회</t>
  </si>
  <si>
    <t>손실손상함수 사용자 관리 기능</t>
  </si>
  <si>
    <t>차량 손실손상함수 속성정보 이력조회</t>
  </si>
  <si>
    <t>피해목적물별 피해액 비교 표출</t>
  </si>
  <si>
    <t>차량 손실손상함수 속성정보 삭제</t>
  </si>
  <si>
    <t>1~6시간 침수심별 침수예상도 표출</t>
  </si>
  <si>
    <t>농작물 손실손상함수 속성정보 조회</t>
  </si>
  <si>
    <t>하천 피해목적물(인벤토리) 테이블</t>
  </si>
  <si>
    <t>농작물 피해목적물(인벤토리) 입력</t>
  </si>
  <si>
    <t>피해 시설물별 원인 관리 테이블</t>
  </si>
  <si>
    <t>시군구별 다변량 피해함수 설정 관리</t>
  </si>
  <si>
    <t>건물 손실손상함수 속성정보 입력</t>
  </si>
  <si>
    <t>호우 사전피해예측 분석결과 조회</t>
  </si>
  <si>
    <t>차량 피해목적물(인벤토리) 테이블</t>
  </si>
  <si>
    <t>풍수해저감종합계획상의 토사재해 등록</t>
  </si>
  <si>
    <t>재난통계조회
Zonung 설정</t>
  </si>
  <si>
    <t>풍수해저감종합계획상의 토사재해 수정</t>
  </si>
  <si>
    <t xml:space="preserve">재해대장 피해 시설물별 원인 설정 </t>
  </si>
  <si>
    <t>손실손상함수 속성정보를 관리 한다.</t>
  </si>
  <si>
    <t>풍수해저감종합계획 해안재해위험지구</t>
  </si>
  <si>
    <t>풍수해저감종합계획상의 해안재해 수정</t>
  </si>
  <si>
    <t>NMS 재해대장 피해시설물별 관리</t>
  </si>
  <si>
    <t>피해목적물 피해액 결과값 입력</t>
  </si>
  <si>
    <t>호우사전피해 모의 시뮬레이션 관리</t>
  </si>
  <si>
    <t>시군구별 피해액 가중치 관리 정보</t>
  </si>
  <si>
    <t>신규 빈도별 풍수해 예측지도 등록</t>
  </si>
  <si>
    <t>피해 시설물별 원인 설정 조회</t>
  </si>
  <si>
    <t xml:space="preserve">내/외수빈도별풍수해피해예측지도관리 </t>
  </si>
  <si>
    <t>시군구별 면적설정을 관리 한다.</t>
  </si>
  <si>
    <t>차량 손실손상함수 속성정보 조회</t>
  </si>
  <si>
    <t>피해시설물별 피해 원인 조건별 표출</t>
  </si>
  <si>
    <t>피해목적물(인벤토리) 건물 정보</t>
  </si>
  <si>
    <t>시군구별 다변량 피해함수 설정 삭제</t>
  </si>
  <si>
    <t>풍수해저감종합계획상의 토사재해 삭제</t>
  </si>
  <si>
    <t>인구 손실손상함수 속성정보 테이블</t>
  </si>
  <si>
    <t>풍수해저감종합계획 하천재해위험지구</t>
  </si>
  <si>
    <t>농작물 손실손상함수 속성정보 테이블</t>
  </si>
  <si>
    <t>분석 피해목적물(인벤토리) 선택</t>
  </si>
  <si>
    <t>피해목적물별 피해물량 비교 표출</t>
  </si>
  <si>
    <t>피해목적물별 손실손상함수 이력 조회</t>
  </si>
  <si>
    <t>하천시설 손실손상함수 속성정보 조회</t>
  </si>
  <si>
    <t>시군구별 다변량 피해함수 설정 입력</t>
  </si>
  <si>
    <t>지속시간별 최대강우량 생성 이력조회</t>
  </si>
  <si>
    <t>인구 손실손상함수 속성정보 수정</t>
  </si>
  <si>
    <t>인구 피해목적물(인벤토리) 테이블</t>
  </si>
  <si>
    <t>1. 지도에 외부범람도 표출 확인</t>
  </si>
  <si>
    <t>지자체 별 관심지점(반경) 입력</t>
  </si>
  <si>
    <t>건물 손실손상함수 속성정보 수정</t>
  </si>
  <si>
    <t>해안(조위) 재해지도 이력 조회</t>
  </si>
  <si>
    <t>공통상세코드 정보를 관리 한다.</t>
  </si>
  <si>
    <t>피해 시설물별 원인 설정 테이블</t>
  </si>
  <si>
    <t>추이발생일시
추이종료일시
시군구코드</t>
  </si>
  <si>
    <t>신규 빈도별 풍수해 예측 지도 관리</t>
  </si>
  <si>
    <t>토양도 연계 정보를 관리 한다.</t>
  </si>
  <si>
    <t>1. 해당 설정건으로 수정된다.</t>
  </si>
  <si>
    <t>풍수해저감종합계획상의 하천재해 수정</t>
  </si>
  <si>
    <t xml:space="preserve">피해목적물 입력,
피해목적물 삭제
</t>
  </si>
  <si>
    <t>풍수해저감종합계획상의 사면재해 삭제</t>
  </si>
  <si>
    <t>시군별 과거 피해예측 결과조회 기능</t>
  </si>
  <si>
    <t>기상청 초단기 예측 강우 적용</t>
  </si>
  <si>
    <t>피해 시설물별 원인 설정 삭제</t>
  </si>
  <si>
    <t>풍수해저감종합계획 토사재해위험지구</t>
  </si>
  <si>
    <t>피해 시설물별 원인 관리 수정</t>
  </si>
  <si>
    <t>보간(내삽) 알고리즘 개발 및 적용</t>
  </si>
  <si>
    <t>호우사전피해 모의기능
외부범람도설정</t>
  </si>
  <si>
    <t>풍수해저감종합계획상의 해안재해 삭제</t>
  </si>
  <si>
    <t>피해목적물(인벤토리) 입력한다.</t>
  </si>
  <si>
    <t>피해목적물(인벤토리) 피해액 표출</t>
  </si>
  <si>
    <t>차량 피해목적물(인벤토리) 입력</t>
  </si>
  <si>
    <t>관측소별 시간별 유량 추이분석</t>
  </si>
  <si>
    <t>지자체 별 관심지점이 수정된다.</t>
  </si>
  <si>
    <t>예측 유역 강우 등록(고도화)</t>
  </si>
  <si>
    <t>농작물 손실손상함수 속성정보 삭제</t>
  </si>
  <si>
    <t>재난통계기반 호우 사전피해예측 기능 전국 확대 및 추가 기능 개발</t>
  </si>
  <si>
    <t>풍수해저감종합계획의 해안재해위험지구에 대한 상세 지형정보/위험지구 표출</t>
  </si>
  <si>
    <t>강우모니터링을 통한 호우 사전피해예측 분석유역 정보를 관리 한다.</t>
  </si>
  <si>
    <t>피해목적물(인벤토리) 입력/일괄삭제 이력 조회 정보를 관리 한다.</t>
  </si>
  <si>
    <t>사전피해예측 1, 3시간 전 → 6시간 등 시간대별 사전 예측 보강</t>
  </si>
  <si>
    <t>신규 빈도별 풍수해 예측지도 생성(보간 알고리즘 적용) 관리한다.</t>
  </si>
  <si>
    <t>시군구별 관측강우 및 예측강우 일자별(1~7일) 강우량 생성 테이블</t>
  </si>
  <si>
    <t xml:space="preserve">1. 관리자 페이지에 접속 
2. 동일 계정으로 관리자 페이지에 접속 </t>
  </si>
  <si>
    <t>1. FAQ 조회 화면을 보여준다.
2. FAQ 정보를 보여준다.</t>
  </si>
  <si>
    <t>VIQ-NEMA-005
VIQ-NEMA-009
VIQ-NEMA-010</t>
  </si>
  <si>
    <t>1. 관리자 페이지 접속 -&gt; 시스템설정 -&gt; 위험등급설정 선택한다.</t>
  </si>
  <si>
    <t>시군구별 관측강우 및 예측강우 일자별(1~7일) 강우량 생성 이력조회</t>
  </si>
  <si>
    <t>VIQ-NEMA-004
VIQ-NEMA-009
VIQ-NEMA-010</t>
  </si>
  <si>
    <t>1. 조회 목록에서 기준일자을 선택한다.
2. 삭제 버튼을 클릭한다.</t>
  </si>
  <si>
    <t>VIQ-NEMA-022
VIQ-NEMA-029
VIQ-NEMA-035</t>
  </si>
  <si>
    <t>과거 피해 데이터 분석을 통한 재해예방사업 타당성 검토 지원 기능 개발</t>
  </si>
  <si>
    <t>관측소별 시간별(1, 3, 6, 12, 24시간) 수위 추이분석 테이블</t>
  </si>
  <si>
    <t>내수/외수/조위 범람도 조회
사전피해예측과 시나리오기반 피해결과비교</t>
  </si>
  <si>
    <t>일자별/시간(오전/오후)별/특정시간 조건별 과거 피해예측 결과조회</t>
  </si>
  <si>
    <t>연계로그
서버모니터링로그
피해예측결과로그
메뉴접속로그
배포판자료요청로그</t>
  </si>
  <si>
    <t>풍수해저감종합계획의 토사재해위험지구에 대한 상세 지형정보/위험지구 표출</t>
  </si>
  <si>
    <t>시군구별 관측강우 및 예측강우 일자별(1~7일) 강우량 생성 입력</t>
  </si>
  <si>
    <t>교통(철도) 피해목적물(인벤토리) Web Service 연계 파일 생성</t>
  </si>
  <si>
    <t>풍수해저감종합계획의 내수재해위험지구에 대한 상세 지형정보/위험지구 표출</t>
  </si>
  <si>
    <t>요구사항 삭제(NPS-NEMA-02-03(회의록-(20171026))</t>
  </si>
  <si>
    <t>풍수해저감종합계획의 재해위험지구에 대한 상세 지형정보/위험지구 표출</t>
  </si>
  <si>
    <t>1.시뮬레이션 이력 정보 목록에서 시군구별 이력 정보를 확인한다.</t>
  </si>
  <si>
    <t>관측소별 시간별(1, 3, 6, 12, 24시간) 유량 추이분석 테이블</t>
  </si>
  <si>
    <t>사용자 페이지에 접속 -&gt;  의사결정&gt;의사결정지원 메뉴를 선택한다.</t>
  </si>
  <si>
    <t>풍수해저감종합계획의 하천재해위험지구에 대한 상세 지형정보/위험지구 표출</t>
  </si>
  <si>
    <t>라이프라인 피해목적물(인벤토리) Web Service 연계 파일 생성</t>
  </si>
  <si>
    <t>농작물 피해목적물(인벤토리) Web Service 연계 파일 생성</t>
  </si>
  <si>
    <t>기초자료 세트(ZIP) 이력 조회(토지피복도, DEM, 토양도) 한다.</t>
  </si>
  <si>
    <t>풍수해저감종합계획의 사면재해위험지구에 대한 상세 지형정보/위험지구 표출</t>
  </si>
  <si>
    <t>풍수해저감종합계획의 바람재해위험지구에 대한 상세 지형정보/위험지구 표출</t>
  </si>
  <si>
    <t>풍수해저감종합계획 사업타당성 검토를 통한 저감사업 우선순위 테이블</t>
  </si>
  <si>
    <t>호우피해예측과 시나리오 호우피해예측 피해결과 비교 정보가 조회된다.</t>
  </si>
  <si>
    <t xml:space="preserve">1. 관리자 페이지에 접속 -&gt; 관리시스템 -&gt; 조건에서 교통을 선택 -&gt; 조회 버튼을 클릭한다.
2. 목록에서 상세보기 버튼 클릭 -&gt;  삭제 버튼 클릭  </t>
  </si>
  <si>
    <t>1. 사용자 교육 동영상 목록에서 해당 코드명을 선택한다.
2. 사용자 교육 동영상 목록을 조회한다.
3. 사용자 교육 동영상 조회 화면에서 삭제버튼을 클릭한다.</t>
  </si>
  <si>
    <t xml:space="preserve">1. 관리자 페이지에 접속 -&gt; 관리시스템 -&gt; 조건에서 농경지를 선택 -&gt; 조회 버튼을 클릭한다.
2. 목록에서 상세보기 버튼 클릭 -&gt;  삭제 버튼 클릭  </t>
  </si>
  <si>
    <t xml:space="preserve">1. 관리자 페이지에 접속 -&gt; 시스템설정 -&gt; 재난통계 가중치 관리를 선택한다.
2. 지역 선택 -&gt; 시설물종류에서 사유시설 선택 -&gt; 삭제 버튼을 클릭한다. </t>
  </si>
  <si>
    <t xml:space="preserve">1. 관리자 페이지에 접속 -&gt; 관리시스템 -&gt; 조건에서 라이프라인을 선택 -&gt; 조회 버튼을 클릭한다.
2. 목록에서 상세보기 버튼 클릭 -&gt;  삭제 버튼 클릭  </t>
  </si>
  <si>
    <t xml:space="preserve">1. 시군구별 총 강우량 관리 목록을 보여준다.
2. 시군구별 총 강우량 관리 입력화면을 보야준다.
   2-1. 시군구별 총 강우량 관리 정보를 저장한다.
</t>
  </si>
  <si>
    <t xml:space="preserve">1. 풍수해저감종합계획 재해 목록을 보여준다.
2. 풍수해저감종합계획 토사재해 입력화면을 보여준다.
   2-1. 풍수해저감종합계획 토사재해 정보를 저장한다.
</t>
  </si>
  <si>
    <t xml:space="preserve">1. 풍수해저감종합계획 재해 목록을 보여준다.
2. 풍수해저감종합계획 사면재해 입력화면을 보여준다.
   2-1. 풍수해저감종합계획 사면재해 정보를 저장한다.
</t>
  </si>
  <si>
    <t>1. 관리자 페이지에 접속 -&gt; 관리시스템 -&gt; FAQ를 선택한다.
2. 입력 버튼 클릭 -&gt;  FAQ 정보등록 화면에서 내용 입력 후 저장 버튼을 클릭한다.</t>
  </si>
  <si>
    <t xml:space="preserve">1. 풍수해저감종합계획 재해 목록을 보여준다.
2. 풍수해저감종합계획 내수재해 입력화면을 보여준다.
   2-1. 풍수해저감종합계획 내수재해 정보를 저장한다.
</t>
  </si>
  <si>
    <t>1. 외부범람도관리 -&gt; 보간(내삽)범람지도 관리를 선택한다
2. 수정버튼 클릭한다.
3. 내용 입력후 저장을 클릭한다.
4. 리스트에서 수정된 내용을 확인한다.</t>
  </si>
  <si>
    <t xml:space="preserve">1. 관리자 페이지에 접속 -&gt; 관리시스템 -&gt; 조건에서 차량을 선택 -&gt; 조회 버튼을 클릭한다.
2. 목록에서 상세보기 버튼 클릭 -&gt;  삭제 버튼 클릭  </t>
  </si>
  <si>
    <t xml:space="preserve">1. 검색조건에 만족 하는 내수 재해지도 존재시 표출
2. 검색조건에 만족 하는 외수 재해지도 존재시 표출
3. 검색조건에 만족 하는 조위 재해지도 존재시 표출
</t>
  </si>
  <si>
    <t>1. 피해 시설물별 원인 관리 목록에서 재해유형번호를 클릭한다.
2. 수정버튼을 클릭한다.
3. 재해유형번호, 재해유형, 사용여부를 수정 -&gt; 수정버튼을 클릭한다.</t>
  </si>
  <si>
    <t xml:space="preserve">1. 풍수해저감종합계획 재해 목록을 보여준다.
2. 풍수해저감종합계획 해안재해 입력화면을 보여준다.
   2-1. 풍수해저감종합계획 해안재해 정보를 저장한다.
</t>
  </si>
  <si>
    <t xml:space="preserve">1. 풍수해저감종합계획 재해 목록을 보여준다.
2. 풍수해저감종합계획 바람재해 입력화면을 보여준다.
   2-1. 풍수해저감종합계획 바람재해 정보를 저장한다.
</t>
  </si>
  <si>
    <t xml:space="preserve">1. 관리자 페이지에 접속 -&gt; 시스템설정 -&gt; 재난통계 가중치 관리를 선택한다.
2. 지역 선택 -&gt; 시설물종류에서 공공시설 선택 -&gt; 삭제 버튼을 클릭한다. </t>
  </si>
  <si>
    <t xml:space="preserve">1. 관리자 페이지에 접속 -&gt; 관리시스템 -&gt; 조건에서 하천을 선택 -&gt; 조회 버튼을 클릭한다.
2. 목록에서 상세보기 버튼 클릭 -&gt;  삭제 버튼 클릭  </t>
  </si>
  <si>
    <t xml:space="preserve">1. 풍수해저감종합계획 재해 목록을 보여준다.
2. 풍수해저감종합계획 하천재해 입력화면을 보여준다.
   2-1. 풍수해저감종합계획 하천재해 정보를 저장한다.
</t>
  </si>
  <si>
    <t>1. 외부범람도관리 -&gt; 해안(조위)범람지도관리를 선택한다.
2. 입력버튼 클릭한다.
3. 내용 입력후 저장을 클릭한다.
4. 리스트에서 입려된 내용을 확인한다.</t>
  </si>
  <si>
    <t xml:space="preserve">1. 관리자 페이지에 접속 -&gt; 관리시스템 -&gt; 조건에서 인구를 선택 -&gt; 조회 버튼을 클릭한다.
2. 목록에서 상세보기 버튼 클릭 -&gt;  삭제 버튼 클릭  </t>
  </si>
  <si>
    <t>기초자료 세트(ZIP) 삭제(토지피복도, DEM, 토양도)</t>
  </si>
  <si>
    <t>관측소별 시간별(1, 3, 6, 12, 24시간) 유량 추이분석</t>
  </si>
  <si>
    <t>지자체 별 관심지점 목록에서 선택된 항목이 지도에서 조회된다.</t>
  </si>
  <si>
    <t>자료(오프라인 및 온라인) 수집 계획 및 현황을 관리 한다.</t>
  </si>
  <si>
    <t>M-NEMA-01-05-01</t>
  </si>
  <si>
    <t>지자체별 관심지점 관리</t>
  </si>
  <si>
    <t>M-NEMA-07-08-01</t>
  </si>
  <si>
    <t>저감사업 우선순위 설정 관리</t>
  </si>
  <si>
    <t>지자체별 피해원인 상세 표출</t>
  </si>
  <si>
    <t>내수 재해지도 이력 조회</t>
  </si>
  <si>
    <t>기초자료 세트(ZIP) 관리</t>
  </si>
  <si>
    <t>UTS-NEMA-002</t>
  </si>
  <si>
    <t>빈도별 재해 지도 표출</t>
  </si>
  <si>
    <t>상황전파메세지 전송설정 조회</t>
  </si>
  <si>
    <t>UTS-NEMA-011</t>
  </si>
  <si>
    <t>PRG-NEMA-057</t>
  </si>
  <si>
    <t>UC-NEMA-002-02</t>
  </si>
  <si>
    <t>UTS-NEMA-007</t>
  </si>
  <si>
    <t>PRG-NEMA-022</t>
  </si>
  <si>
    <t>상황전파메세지 전송설정 수정</t>
  </si>
  <si>
    <t>UTS-NEMA-044</t>
  </si>
  <si>
    <t>PRG-NEMA-040</t>
  </si>
  <si>
    <t>UTS-NEMA-058</t>
  </si>
  <si>
    <t>VIQ-NEMA-015</t>
  </si>
  <si>
    <t>UC-NEMA-007-02</t>
  </si>
  <si>
    <t>VIQ-NEMA-003</t>
  </si>
  <si>
    <t>VIQ-NEMA-013</t>
  </si>
  <si>
    <t>PRG-NEMA-068</t>
  </si>
  <si>
    <t>CCD-NEMA-032</t>
  </si>
  <si>
    <t>1~6시간 침수예상도 표출</t>
  </si>
  <si>
    <t>UC-NEMA-004-01</t>
  </si>
  <si>
    <t>UC-NEMA-004-02</t>
  </si>
  <si>
    <t>M-NEMA-12-03-01</t>
  </si>
  <si>
    <t>빈도별 유사 재해 지도 검색</t>
  </si>
  <si>
    <t>회원정보관리
사용자접속정보</t>
  </si>
  <si>
    <t>UC-NEMA-036-01</t>
  </si>
  <si>
    <t>UTS-NEMA-026</t>
  </si>
  <si>
    <t>VIQ-NEMA-045</t>
  </si>
  <si>
    <t>UTS-NEMA-068</t>
  </si>
  <si>
    <t>초단기 예측 강우 요청</t>
  </si>
  <si>
    <t>지역별 취약인구 정보 관리</t>
  </si>
  <si>
    <t>사용자 교육 동영상 테이블</t>
  </si>
  <si>
    <t>PRG-NEMA-081</t>
  </si>
  <si>
    <t>PRG-NEMA-052</t>
  </si>
  <si>
    <t>PRG-NEMA-026</t>
  </si>
  <si>
    <t>UC-NEMA-005-01</t>
  </si>
  <si>
    <t>UTS-NEMA-075</t>
  </si>
  <si>
    <t>UTS-NEMA-055</t>
  </si>
  <si>
    <t>피해시설물 인벤토리 관리</t>
  </si>
  <si>
    <t>M-NEMA-06-03-01</t>
  </si>
  <si>
    <t>CCD-NEMA-003</t>
  </si>
  <si>
    <t>VIQ-NEMA-034</t>
  </si>
  <si>
    <t>VIQ-NEMA-022</t>
  </si>
  <si>
    <t>VIQ-NEMA-040</t>
  </si>
  <si>
    <t>시스템관리자
일반사용자</t>
  </si>
  <si>
    <t>UTS-NEMA-003</t>
  </si>
  <si>
    <t>CCD-NEMA-014</t>
  </si>
  <si>
    <t>M-NEMA-05-04-01</t>
  </si>
  <si>
    <t>피해 시설물별 원인 관리</t>
  </si>
  <si>
    <t>PRG-NEMA-013</t>
  </si>
  <si>
    <t>UTS-NEMA-042</t>
  </si>
  <si>
    <t>시군구별 총강우량 정보</t>
  </si>
  <si>
    <t>PRG-NEMA-002</t>
  </si>
  <si>
    <t>UC-NEMA-013-01</t>
  </si>
  <si>
    <t>UC-NEMA-020-01</t>
  </si>
  <si>
    <t>해안(조위)범람지도 관리</t>
  </si>
  <si>
    <t>M-NEMA-05-03-01</t>
  </si>
  <si>
    <t>상황전파메세지 전송설정 삭제</t>
  </si>
  <si>
    <t>UTS-NEMA-013</t>
  </si>
  <si>
    <t>UC-NEMA-007-03</t>
  </si>
  <si>
    <t>사용자 피해분석 결과 수정</t>
  </si>
  <si>
    <t>FAQ 페이지 테이블 생성</t>
  </si>
  <si>
    <t>PRG-NEMA-014</t>
  </si>
  <si>
    <t>지역별 취약인구 정보 생성</t>
  </si>
  <si>
    <t>M-NEMA-12-05-01</t>
  </si>
  <si>
    <t>M-NEMA-07-07-01</t>
  </si>
  <si>
    <t>CCD-NEMA-002</t>
  </si>
  <si>
    <t>UTS-NEMA-027</t>
  </si>
  <si>
    <t>메뉴별 권한관리 테이블</t>
  </si>
  <si>
    <t>UC-NEMA-017-02</t>
  </si>
  <si>
    <t>M-NEMA-01-03-01</t>
  </si>
  <si>
    <t>UTS-NEMA-050</t>
  </si>
  <si>
    <t>상황전파메세지 정책 관리</t>
  </si>
  <si>
    <t>M-NEMA-01-02-01</t>
  </si>
  <si>
    <t>UTS-NEMA-040</t>
  </si>
  <si>
    <t>UC-NEMA-008-01</t>
  </si>
  <si>
    <t>UC-NEMA-015-02</t>
  </si>
  <si>
    <t>PRG-NEMA-016</t>
  </si>
  <si>
    <t>UTS-NEMA-034</t>
  </si>
  <si>
    <t>VIQ-NEMA-033</t>
  </si>
  <si>
    <t>UTS-NEMA-066</t>
  </si>
  <si>
    <t>사용자 피해목적물 설정</t>
  </si>
  <si>
    <t>시군구별 총강우량 설정 입력</t>
  </si>
  <si>
    <t>UTS-NEMA-009</t>
  </si>
  <si>
    <t>PRG-NEMA-032</t>
  </si>
  <si>
    <t>PRG-NEMA-019</t>
  </si>
  <si>
    <t>M-NEMA-06-01-01</t>
  </si>
  <si>
    <t>VIQ-NEMA-002</t>
  </si>
  <si>
    <t>M-NEMA-03-03-01</t>
  </si>
  <si>
    <t>UC-NEMA-021-02</t>
  </si>
  <si>
    <t>UTS-NEMA-049</t>
  </si>
  <si>
    <t>UTS-NEMA-053</t>
  </si>
  <si>
    <t>PRG-NEMA-003</t>
  </si>
  <si>
    <t>UTS-NEMA-029</t>
  </si>
  <si>
    <t>UC-NEMA-031-01</t>
  </si>
  <si>
    <t>UTS-NEMA-038</t>
  </si>
  <si>
    <t>UTS-NEMA-057</t>
  </si>
  <si>
    <t>VIQ-NEMA-043</t>
  </si>
  <si>
    <t>M-NEMA-05-05-01</t>
  </si>
  <si>
    <t>PRG-NEMA-038</t>
  </si>
  <si>
    <t>VIQ-NEMA-017</t>
  </si>
  <si>
    <t>VIQ-NEMA-016</t>
  </si>
  <si>
    <t>피해분석결과 이력 저장</t>
  </si>
  <si>
    <t>PRG-NEMA-076</t>
  </si>
  <si>
    <t>UC-NEMA-015-01</t>
  </si>
  <si>
    <t>PRG-NEMA-062</t>
  </si>
  <si>
    <t>PRG-NEMA-009</t>
  </si>
  <si>
    <t>시군구별 총강우량 설정 수정</t>
  </si>
  <si>
    <t>UTS-NEMA-036</t>
  </si>
  <si>
    <t>PRG-NEMA-029</t>
  </si>
  <si>
    <t>CCD-NEMA-035</t>
  </si>
  <si>
    <t>UC-NEMA-006-03</t>
  </si>
  <si>
    <t>VIQ-NEMA-004</t>
  </si>
  <si>
    <t>PRG-NEMA-033</t>
  </si>
  <si>
    <t>해안(조위) 재해 지도 관리</t>
  </si>
  <si>
    <t>M-NEMA-01-04-01</t>
  </si>
  <si>
    <t>UC-NEMA-033-01</t>
  </si>
  <si>
    <t>시군구별 총강우량 관리</t>
  </si>
  <si>
    <t>호우 사전피해예측 지도 생성</t>
  </si>
  <si>
    <t>UC-NEMA-001-02</t>
  </si>
  <si>
    <t>UC-NEMA-020-02</t>
  </si>
  <si>
    <t>PRG-NEMA-031</t>
  </si>
  <si>
    <t>PRG-NEMA-024</t>
  </si>
  <si>
    <t>VIQ-NEMA-021</t>
  </si>
  <si>
    <t>CCD-NEMA-021</t>
  </si>
  <si>
    <t>PRG-NEMA-004</t>
  </si>
  <si>
    <t>PRG-NEMA-077</t>
  </si>
  <si>
    <t>PRG-NEMA-074</t>
  </si>
  <si>
    <t>호우 사전피해예측지도 생성</t>
  </si>
  <si>
    <t>M-NEMA-06-04-01</t>
  </si>
  <si>
    <t>외수 재해지도 이력 조회</t>
  </si>
  <si>
    <t>UC-NEMA-036-04</t>
  </si>
  <si>
    <t>PRG-NEMA-012</t>
  </si>
  <si>
    <t>UTS-NEMA-010</t>
  </si>
  <si>
    <t>보간(내삽) 지도 관리</t>
  </si>
  <si>
    <t>UTS-NEMA-025</t>
  </si>
  <si>
    <t>UC-NEMA-022-01</t>
  </si>
  <si>
    <t>UC-NEMA-029-02</t>
  </si>
  <si>
    <t>VIQ-NEMA-038</t>
  </si>
  <si>
    <t>사용자 피해분석 결과 저장</t>
  </si>
  <si>
    <t>PRG-NEMA-021</t>
  </si>
  <si>
    <t>단계별 행동요령 테이블</t>
  </si>
  <si>
    <t>M-NEMA-08-01-01</t>
  </si>
  <si>
    <t>UTS-NEMA-015</t>
  </si>
  <si>
    <t>VIQ-NEMA-036</t>
  </si>
  <si>
    <t>위험등급 분석결과 생성 관리</t>
  </si>
  <si>
    <t>UTS-NEMA-070</t>
  </si>
  <si>
    <t>CCD-NEMA-028</t>
  </si>
  <si>
    <t>UTS-NEMA-037</t>
  </si>
  <si>
    <t>UC-NEMA-013-02</t>
  </si>
  <si>
    <t>VIQ-NEMA-028</t>
  </si>
  <si>
    <t>로그인</t>
  </si>
  <si>
    <t>변경</t>
  </si>
  <si>
    <t>완료</t>
  </si>
  <si>
    <t>N/A</t>
  </si>
  <si>
    <t>작성자</t>
  </si>
  <si>
    <t>화면명</t>
  </si>
  <si>
    <t>버전</t>
  </si>
  <si>
    <t>순번</t>
  </si>
  <si>
    <t>담당자</t>
  </si>
  <si>
    <t>권혁종</t>
  </si>
  <si>
    <t>구분</t>
  </si>
  <si>
    <t>분석</t>
  </si>
  <si>
    <t>미정</t>
  </si>
  <si>
    <t>비고</t>
  </si>
  <si>
    <t>기능</t>
  </si>
  <si>
    <t>최명훈</t>
  </si>
  <si>
    <t>정정남</t>
  </si>
  <si>
    <t>미완료</t>
  </si>
  <si>
    <t>기존</t>
  </si>
  <si>
    <t>강승부</t>
  </si>
  <si>
    <t>상태</t>
  </si>
  <si>
    <t>삭제</t>
  </si>
  <si>
    <t>범람도</t>
  </si>
  <si>
    <t>고정완</t>
  </si>
  <si>
    <t>결과</t>
  </si>
  <si>
    <t>김유리</t>
  </si>
  <si>
    <t>정병훈</t>
  </si>
  <si>
    <t>시스템</t>
  </si>
  <si>
    <t>단계</t>
  </si>
  <si>
    <t>메뉴명</t>
  </si>
  <si>
    <t>부적합</t>
  </si>
  <si>
    <t>배병준</t>
  </si>
  <si>
    <t>연계</t>
  </si>
  <si>
    <t>양지윤</t>
  </si>
  <si>
    <t>일자</t>
  </si>
  <si>
    <t>연도</t>
  </si>
  <si>
    <t>분야</t>
  </si>
  <si>
    <t>진행</t>
  </si>
  <si>
    <t>사업명</t>
  </si>
  <si>
    <t>유지성</t>
  </si>
  <si>
    <t>전체</t>
  </si>
  <si>
    <t>증적</t>
  </si>
  <si>
    <t>김철한</t>
  </si>
  <si>
    <t>심규승</t>
  </si>
  <si>
    <t>설계</t>
  </si>
  <si>
    <t>UT-025-05</t>
  </si>
  <si>
    <t>UT-027-27</t>
  </si>
  <si>
    <t>SFR-101-05</t>
  </si>
  <si>
    <t>UT-035-04</t>
  </si>
  <si>
    <t>UT-027-01</t>
  </si>
  <si>
    <t>UT-025-02</t>
  </si>
  <si>
    <t>UT-032-01</t>
  </si>
  <si>
    <t>UT-031-03</t>
  </si>
  <si>
    <t>SFR-100-13</t>
  </si>
  <si>
    <t>UT-032-04</t>
  </si>
  <si>
    <t>UT-080-01</t>
  </si>
  <si>
    <t>UT-048-06</t>
  </si>
  <si>
    <t>SFR-110-26</t>
  </si>
  <si>
    <t>UT-027-14</t>
  </si>
  <si>
    <t>UT-031-04</t>
  </si>
  <si>
    <t>UT-036-04</t>
  </si>
  <si>
    <t>UT-029-04</t>
  </si>
  <si>
    <t>UT-036-01</t>
  </si>
  <si>
    <t>UT-028-03</t>
  </si>
  <si>
    <t>UT-027-07</t>
  </si>
  <si>
    <t>UT-044-02</t>
  </si>
  <si>
    <t>UT-027-18</t>
  </si>
  <si>
    <t>UT-027-23</t>
  </si>
  <si>
    <t>UT-027-10</t>
  </si>
  <si>
    <t>UT-021-01</t>
  </si>
  <si>
    <t>UT-027-19</t>
  </si>
  <si>
    <t>UT-027-22</t>
  </si>
  <si>
    <t>UT-028-07</t>
  </si>
  <si>
    <t>UT-029-01</t>
  </si>
  <si>
    <t>UT-027-03</t>
  </si>
  <si>
    <t>UT-035-02</t>
  </si>
  <si>
    <t>UT-023-01</t>
  </si>
  <si>
    <t>SFR-096-13</t>
  </si>
  <si>
    <t>UT-025-04</t>
  </si>
  <si>
    <t>UT-034-01</t>
  </si>
  <si>
    <t>UT-027-02</t>
  </si>
  <si>
    <t>UT-027-21</t>
  </si>
  <si>
    <t>SFR-110-29</t>
  </si>
  <si>
    <t>UT-026-03</t>
  </si>
  <si>
    <t>UT-027-28</t>
  </si>
  <si>
    <t>UT-027-04</t>
  </si>
  <si>
    <t>SFR-095-05</t>
  </si>
  <si>
    <t xml:space="preserve">FAQ 게시판 </t>
  </si>
  <si>
    <t>UT-027-15</t>
  </si>
  <si>
    <t>UT-028-05</t>
  </si>
  <si>
    <t>UT-032-03</t>
  </si>
  <si>
    <t>UT-030-02</t>
  </si>
  <si>
    <t>UT-027-17</t>
  </si>
  <si>
    <t>UT-027-24</t>
  </si>
  <si>
    <t>UT-018-01</t>
  </si>
  <si>
    <t>UT-027-12</t>
  </si>
  <si>
    <t>UT-028-06</t>
  </si>
  <si>
    <t>SFR-103-07</t>
  </si>
  <si>
    <t>UT-005-05</t>
  </si>
  <si>
    <t>UT-075-01</t>
  </si>
  <si>
    <t>UT-027-26</t>
  </si>
  <si>
    <t>SFR-105-01</t>
  </si>
  <si>
    <t>UT-018-03</t>
  </si>
  <si>
    <t>UT-020-01</t>
  </si>
  <si>
    <t>UT-024-01</t>
  </si>
  <si>
    <t>UT-027-16</t>
  </si>
  <si>
    <t>UT-016-06</t>
  </si>
  <si>
    <t>UT-036-03</t>
  </si>
  <si>
    <t>UT-026-05</t>
  </si>
  <si>
    <t>UT-027-09</t>
  </si>
  <si>
    <t>UT-060-03</t>
  </si>
  <si>
    <t>UT-011-11</t>
  </si>
  <si>
    <t>UT-014-02</t>
  </si>
  <si>
    <t>UT-010-01</t>
  </si>
  <si>
    <t>지도화면 표출 확인</t>
  </si>
  <si>
    <t>UT-011-12</t>
  </si>
  <si>
    <t>호우피해예측시스템</t>
  </si>
  <si>
    <t>UT-027-13</t>
  </si>
  <si>
    <t>UT-063-01</t>
  </si>
  <si>
    <t>SFR-081-19</t>
  </si>
  <si>
    <t>UT-015-02</t>
  </si>
  <si>
    <t>UT-015-06</t>
  </si>
  <si>
    <t>UT-025-03</t>
  </si>
  <si>
    <t>호우 사전피해예측지도</t>
  </si>
  <si>
    <t>SFR-089-02</t>
  </si>
  <si>
    <t>UT-016-03</t>
  </si>
  <si>
    <t>UT-062-24</t>
  </si>
  <si>
    <t>UT-017-01</t>
  </si>
  <si>
    <t>UT-013-04</t>
  </si>
  <si>
    <t>UT-076-36</t>
  </si>
  <si>
    <t>UT-062-14</t>
  </si>
  <si>
    <t>UT-013-06</t>
  </si>
  <si>
    <t>SFR-103-33</t>
  </si>
  <si>
    <t>UT-002-01</t>
  </si>
  <si>
    <t>UT-011-06</t>
  </si>
  <si>
    <t>UT-057-02</t>
  </si>
  <si>
    <t>SFR-082-06</t>
  </si>
  <si>
    <t>UT-058-01</t>
  </si>
  <si>
    <t>SFR-088-03</t>
  </si>
  <si>
    <t>UT-013-01</t>
  </si>
  <si>
    <t>UT-019-02</t>
  </si>
  <si>
    <t>UT-076-26</t>
  </si>
  <si>
    <t>SFR-103-34</t>
  </si>
  <si>
    <t>SFR-083-01</t>
  </si>
  <si>
    <t>UT-65-02</t>
  </si>
  <si>
    <t>UT-009-02</t>
  </si>
  <si>
    <t>SFR-085-11</t>
  </si>
  <si>
    <t>UT-064-02</t>
  </si>
  <si>
    <t>UT-055-04</t>
  </si>
  <si>
    <t>UT-076-14</t>
  </si>
  <si>
    <t>UT-062-16</t>
  </si>
  <si>
    <t>UT-059-02</t>
  </si>
  <si>
    <t>UT-055-02</t>
  </si>
  <si>
    <t>UT-014-05</t>
  </si>
  <si>
    <t>UT-063-03</t>
  </si>
  <si>
    <t>UT-076-22</t>
  </si>
  <si>
    <t>단계별 행동요령 조회</t>
  </si>
  <si>
    <t>UT-060-02</t>
  </si>
  <si>
    <t>SFR-110-42</t>
  </si>
  <si>
    <t>SFR-107-09</t>
  </si>
  <si>
    <t>UT-012-01</t>
  </si>
  <si>
    <t>UT-076-37</t>
  </si>
  <si>
    <t>UT-076-38</t>
  </si>
  <si>
    <t>UT-056-05</t>
  </si>
  <si>
    <t>SFR-084-07</t>
  </si>
  <si>
    <t>UT-063-06</t>
  </si>
  <si>
    <t>SFR-112-20</t>
  </si>
  <si>
    <t>SFR-081-07</t>
  </si>
  <si>
    <t>SFR-092-05</t>
  </si>
  <si>
    <t>UT-056-06</t>
  </si>
  <si>
    <t>SFR-087-02</t>
  </si>
  <si>
    <t>UT-059-03</t>
  </si>
  <si>
    <t>UT-076-24</t>
  </si>
  <si>
    <t>UT-060-06</t>
  </si>
  <si>
    <t>단계별 행동요령 표출</t>
  </si>
  <si>
    <t>UT-059-01</t>
  </si>
  <si>
    <t>SFR-110-02</t>
  </si>
  <si>
    <t>UT-078-07</t>
  </si>
  <si>
    <t>SFR-111-04</t>
  </si>
  <si>
    <t>SFR-078-03</t>
  </si>
  <si>
    <t>SFR-088-05</t>
  </si>
  <si>
    <t>UT-71-01</t>
  </si>
  <si>
    <t>SFR-110-43</t>
  </si>
  <si>
    <t>외수범람지도 관리</t>
  </si>
  <si>
    <t>UT-71-02</t>
  </si>
  <si>
    <t>UT-076-18</t>
  </si>
  <si>
    <t>SFR-078-08</t>
  </si>
  <si>
    <t>UT-055-03</t>
  </si>
  <si>
    <t>UT-058-03</t>
  </si>
  <si>
    <t>UT-001-02</t>
  </si>
  <si>
    <t>UT-076-25</t>
  </si>
  <si>
    <t>외수 재해 지도 관리</t>
  </si>
  <si>
    <t>UT-060-05</t>
  </si>
  <si>
    <t>UT-001-04</t>
  </si>
  <si>
    <t>UT-062-19</t>
  </si>
  <si>
    <t>UT-032-02</t>
  </si>
  <si>
    <t>수위&amp;유량 조회</t>
  </si>
  <si>
    <t>이중로그인 통계 관리</t>
  </si>
  <si>
    <t>SFR-078-10</t>
  </si>
  <si>
    <t>UT-003-01</t>
  </si>
  <si>
    <t>UT-076-05</t>
  </si>
  <si>
    <t>내수범람지도 관리</t>
  </si>
  <si>
    <t>UT-004-01</t>
  </si>
  <si>
    <t>UT-056-03</t>
  </si>
  <si>
    <t>UT-005-02</t>
  </si>
  <si>
    <t>UT-70-04</t>
  </si>
  <si>
    <t>초단기예측유역강우</t>
  </si>
  <si>
    <t>UT-031-02</t>
  </si>
  <si>
    <t>UT-019-06</t>
  </si>
  <si>
    <t>UT-004-02</t>
  </si>
  <si>
    <t>SFR-110-32</t>
  </si>
  <si>
    <t>SFR-094-06</t>
  </si>
  <si>
    <t>SFR-085-02</t>
  </si>
  <si>
    <t>관측 유역 강우 정보</t>
  </si>
  <si>
    <t>UT-078-22</t>
  </si>
  <si>
    <t>UT-063-04</t>
  </si>
  <si>
    <t>UT-67-02</t>
  </si>
  <si>
    <t>SFR-110-01</t>
  </si>
  <si>
    <t>SFR-085-08</t>
  </si>
  <si>
    <t>SFR-110-18</t>
  </si>
  <si>
    <t>UT-019-04</t>
  </si>
  <si>
    <t>UT-030-01</t>
  </si>
  <si>
    <t>UT-062-15</t>
  </si>
  <si>
    <t>SFR-083-18</t>
  </si>
  <si>
    <t>UT-028-08</t>
  </si>
  <si>
    <t>SFR-095-02</t>
  </si>
  <si>
    <t>SFR-110-30</t>
  </si>
  <si>
    <t>UT-004-04</t>
  </si>
  <si>
    <t>UT-037-03</t>
  </si>
  <si>
    <t>UT-042-04</t>
  </si>
  <si>
    <t>UT-037-02</t>
  </si>
  <si>
    <t>UT-064-03</t>
  </si>
  <si>
    <t>UT-026-04</t>
  </si>
  <si>
    <t>UT-027-06</t>
  </si>
  <si>
    <t>UT-65-03</t>
  </si>
  <si>
    <t>SFR-110-19</t>
  </si>
  <si>
    <t>UT-078-12</t>
  </si>
  <si>
    <t>SFR-081-14</t>
  </si>
  <si>
    <t>UT-014-06</t>
  </si>
  <si>
    <t>UT-058-02</t>
  </si>
  <si>
    <t>UT-023-02</t>
  </si>
  <si>
    <t>SFR-096-14</t>
  </si>
  <si>
    <t>UT-020-04</t>
  </si>
  <si>
    <t>SFR-081-05</t>
  </si>
  <si>
    <t>UT-052-01</t>
  </si>
  <si>
    <t>UT-026-01</t>
  </si>
  <si>
    <t>UT-018-05</t>
  </si>
  <si>
    <t>1. 시간
2. 강우</t>
  </si>
  <si>
    <t>SFR-110-25</t>
  </si>
  <si>
    <t>SFR-105-04</t>
  </si>
  <si>
    <t>SFR-080-01</t>
  </si>
  <si>
    <t>SFR-079-11</t>
  </si>
  <si>
    <t>SFR-082-01</t>
  </si>
  <si>
    <t>UT-036-02</t>
  </si>
  <si>
    <t>UT-027-05</t>
  </si>
  <si>
    <t>UT-020-03</t>
  </si>
  <si>
    <t>UT-044-04</t>
  </si>
  <si>
    <t>SFR-085-01</t>
  </si>
  <si>
    <t>UT-015-04</t>
  </si>
  <si>
    <t>SFR-079-12</t>
  </si>
  <si>
    <t>SFR-081-18</t>
  </si>
  <si>
    <t>UT-019-03</t>
  </si>
  <si>
    <t>SFR-083-16</t>
  </si>
  <si>
    <t>UT-022-01</t>
  </si>
  <si>
    <t>SFR-083-15</t>
  </si>
  <si>
    <t>UT-016-04</t>
  </si>
  <si>
    <t>SFR-080-06</t>
  </si>
  <si>
    <t>SFR-081-21</t>
  </si>
  <si>
    <t>UT-039-01</t>
  </si>
  <si>
    <t>SFR-079-27</t>
  </si>
  <si>
    <t>SFR-081-02</t>
  </si>
  <si>
    <t>UT-035-03</t>
  </si>
  <si>
    <t>SFR-081-04</t>
  </si>
  <si>
    <t>UT-027-25</t>
  </si>
  <si>
    <t>SFR-096-03</t>
  </si>
  <si>
    <t>UT-021-02</t>
  </si>
  <si>
    <t>SFR-082-04</t>
  </si>
  <si>
    <t>SFR-084-03</t>
  </si>
  <si>
    <t>UT-078-32</t>
  </si>
  <si>
    <t>SFR-110-34</t>
  </si>
  <si>
    <t>UT-037-01</t>
  </si>
  <si>
    <t>예측 유역 강우 관리</t>
  </si>
  <si>
    <t>SFR-079-18</t>
  </si>
  <si>
    <t>호우사전피해분석</t>
  </si>
  <si>
    <t>SFR-079-17</t>
  </si>
  <si>
    <t>UT-028-04</t>
  </si>
  <si>
    <t>SFR-095-04</t>
  </si>
  <si>
    <t>1. 메뉴생성 버튼을 클릭한다.
2. 메뉴목록을 보여주고 부여할 메뉴명을 체크한다.
3. 메뉴생성 버튼을 클릭한다.</t>
  </si>
  <si>
    <t>손실·손상함수에 적용되는 인벤토리를 사용자가 조합(추가·삭제) 하여 사용할 수 있는 활용 및 관리가 용이하도록 개발</t>
  </si>
  <si>
    <t>1. 시군구별 표준유역강우 면적비/최대치 조회 화면에서 삭제버튼을 클릭한다.
2. 삭제 확인 메세지를 보여준다.
   2-1. 시군구별 표준유역강우 면적비/최대치 삭제 버튼을 클릭한다.</t>
  </si>
  <si>
    <t>1. 시군구별/일자별 강우정보 맵핑 수정 화면을 보여준다.
2. 시군구별/일자별 강우정보 맵핑 정보를 수정한다.
   2-1. 시군구별/일자별 강우정보 맵핑 목록 화면으로 이동한다.</t>
  </si>
  <si>
    <t>UT-004-15</t>
  </si>
  <si>
    <t>SFR-112-11</t>
  </si>
  <si>
    <t>UT-046-01</t>
  </si>
  <si>
    <t>SFR-089-43</t>
  </si>
  <si>
    <t>예상결과 및 검증방법</t>
  </si>
  <si>
    <t>SFR-083-05</t>
  </si>
  <si>
    <t>UT-053-01</t>
  </si>
  <si>
    <t>UT-048-05</t>
  </si>
  <si>
    <t>UT-077-01</t>
  </si>
  <si>
    <t>2017.11.11</t>
  </si>
  <si>
    <t>메뉴별 권한관리 수정</t>
  </si>
  <si>
    <t>UT-65-01</t>
  </si>
  <si>
    <t>SFR-094-07</t>
  </si>
  <si>
    <t>UT-048-09</t>
  </si>
  <si>
    <t>SFR-089-35</t>
  </si>
  <si>
    <t>SFR-092-07</t>
  </si>
  <si>
    <t>SFR-099-01</t>
  </si>
  <si>
    <t>UT-076-15</t>
  </si>
  <si>
    <t>단계별 행동요령 수정</t>
  </si>
  <si>
    <t>초단기 예측강우 조회</t>
  </si>
  <si>
    <t>SFR-111-06</t>
  </si>
  <si>
    <t>UT-076-41</t>
  </si>
  <si>
    <t>SFR-090-11</t>
  </si>
  <si>
    <t>피해목적물 삭제</t>
  </si>
  <si>
    <t>UT-054-02</t>
  </si>
  <si>
    <t>SFR-089-31</t>
  </si>
  <si>
    <t>UT-063-02</t>
  </si>
  <si>
    <t>SFR-085-04</t>
  </si>
  <si>
    <t>SFR-079-01</t>
  </si>
  <si>
    <t>SFR-110-14</t>
  </si>
  <si>
    <t>UT-056-01</t>
  </si>
  <si>
    <t>SFR-107-06</t>
  </si>
  <si>
    <t>UT-045-02</t>
  </si>
  <si>
    <t>피해목적물 입력</t>
  </si>
  <si>
    <t>UT-064-04</t>
  </si>
  <si>
    <t>UT-060-08</t>
  </si>
  <si>
    <t>UT-67-04</t>
  </si>
  <si>
    <t>호우피해 예측현황</t>
  </si>
  <si>
    <t>SFR-085-05</t>
  </si>
  <si>
    <t>SFR-090-06</t>
  </si>
  <si>
    <t>SFR-088-07</t>
  </si>
  <si>
    <t>SFR-100-10</t>
  </si>
  <si>
    <t>SFR-078-05</t>
  </si>
  <si>
    <t>SFR-092-10</t>
  </si>
  <si>
    <t>SFR-090-16</t>
  </si>
  <si>
    <t>SFR-080-03</t>
  </si>
  <si>
    <t>SFR-078-07</t>
  </si>
  <si>
    <t>SFR-081-12</t>
  </si>
  <si>
    <t>SFR-090-17</t>
  </si>
  <si>
    <t>SFR-089-10</t>
  </si>
  <si>
    <t>SFR-081-10</t>
  </si>
  <si>
    <t>SFR-079-23</t>
  </si>
  <si>
    <t>SFR-079-16</t>
  </si>
  <si>
    <t>SFR-088-04</t>
  </si>
  <si>
    <t>SFR-091-04</t>
  </si>
  <si>
    <t>SFR-083-20</t>
  </si>
  <si>
    <t>SFR-079-07</t>
  </si>
  <si>
    <t>SFR-079-26</t>
  </si>
  <si>
    <t>SFR-078-02</t>
  </si>
  <si>
    <t>SFR-081-03</t>
  </si>
  <si>
    <t>SFR-079-09</t>
  </si>
  <si>
    <t>SFR-081-15</t>
  </si>
  <si>
    <t>SFR-079-21</t>
  </si>
  <si>
    <t>SFR-084-10</t>
  </si>
  <si>
    <t>SFR-089-41</t>
  </si>
  <si>
    <t>SFR-091-01</t>
  </si>
  <si>
    <t>SFR-081-01</t>
  </si>
  <si>
    <t>SFR-083-02</t>
  </si>
  <si>
    <t>SFR-079-19</t>
  </si>
  <si>
    <t>SFR-091-03</t>
  </si>
  <si>
    <t>관측 유역 강우 관리</t>
  </si>
  <si>
    <t>SFR-080-02</t>
  </si>
  <si>
    <t>SFR-103-25</t>
  </si>
  <si>
    <t>내수 재해 지도 관리</t>
  </si>
  <si>
    <t>SFR-079-13</t>
  </si>
  <si>
    <t>구현 및 테스트</t>
  </si>
  <si>
    <t>SFR-079-20</t>
  </si>
  <si>
    <t>SFR-084-08</t>
  </si>
  <si>
    <t>UT-078-33</t>
  </si>
  <si>
    <t>UT-035-01</t>
  </si>
  <si>
    <t>요구사항추적표(기능)</t>
  </si>
  <si>
    <t>SFR-089-05</t>
  </si>
  <si>
    <t>SFR-079-05</t>
  </si>
  <si>
    <t>SFR-079-04</t>
  </si>
  <si>
    <t>SFR-079-24</t>
  </si>
  <si>
    <t>SFR-079-10</t>
  </si>
  <si>
    <t>SFR-079-22</t>
  </si>
  <si>
    <t>SFR-081-11</t>
  </si>
  <si>
    <t>UT-001-05</t>
  </si>
  <si>
    <t>SFR-081-13</t>
  </si>
  <si>
    <t>UT-004-06</t>
  </si>
  <si>
    <t>SFR-079-03</t>
  </si>
  <si>
    <t>UT-057-03</t>
  </si>
  <si>
    <t>UT-062-04</t>
  </si>
  <si>
    <t>UT-031-01</t>
  </si>
  <si>
    <t>SFR-078-06</t>
  </si>
  <si>
    <t>UT-004-09</t>
  </si>
  <si>
    <t>SFR-089-27</t>
  </si>
  <si>
    <t>UT-004-08</t>
  </si>
  <si>
    <t>SFR-079-06</t>
  </si>
  <si>
    <t>유스케이스정의서</t>
  </si>
  <si>
    <t>UT-004-07</t>
  </si>
  <si>
    <t>피해목적물 관리기능</t>
  </si>
  <si>
    <t>SFR-081-20</t>
  </si>
  <si>
    <t>UT-001-03</t>
  </si>
  <si>
    <t>UT-004-14</t>
  </si>
  <si>
    <t>SFR-089-15</t>
  </si>
  <si>
    <t>UT-002-02</t>
  </si>
  <si>
    <t>SFR-089-21</t>
  </si>
  <si>
    <t>UT-67-03</t>
  </si>
  <si>
    <t>UT-004-10</t>
  </si>
  <si>
    <t>SFR-079-02</t>
  </si>
  <si>
    <t>풍수해피해예측시스템</t>
  </si>
  <si>
    <t>SFR-089-06</t>
  </si>
  <si>
    <t>SFR-101-06</t>
  </si>
  <si>
    <t>UT-076-09</t>
  </si>
  <si>
    <t>UT-004-05</t>
  </si>
  <si>
    <t>SFR-088-08</t>
  </si>
  <si>
    <t>SFR-078-04</t>
  </si>
  <si>
    <t>SFR-088-09</t>
  </si>
  <si>
    <t>SFR-085-09</t>
  </si>
  <si>
    <t>UT-076-12</t>
  </si>
  <si>
    <t>UT-004-11</t>
  </si>
  <si>
    <t>SFR-101-02</t>
  </si>
  <si>
    <t>UT-045-05</t>
  </si>
  <si>
    <t>SFR-086-01</t>
  </si>
  <si>
    <t>UT-074-02</t>
  </si>
  <si>
    <t>SFR-079-15</t>
  </si>
  <si>
    <t>SFR-089-38</t>
  </si>
  <si>
    <t>SFR-090-10</t>
  </si>
  <si>
    <t>UT-056-02</t>
  </si>
  <si>
    <t>SFR-089-24</t>
  </si>
  <si>
    <t>UT-062-20</t>
  </si>
  <si>
    <t>SFR-078-09</t>
  </si>
  <si>
    <t>UT-074-01</t>
  </si>
  <si>
    <t>SFR-090-03</t>
  </si>
  <si>
    <t>UT-048-01</t>
  </si>
  <si>
    <t>SFR-104-02</t>
  </si>
  <si>
    <t>UT-001-01</t>
  </si>
  <si>
    <t>UT-042-03</t>
  </si>
  <si>
    <t>UT-062-12</t>
  </si>
  <si>
    <t>SFR-110-07</t>
  </si>
  <si>
    <t>UT-064-01</t>
  </si>
  <si>
    <t>SFR-112-03</t>
  </si>
  <si>
    <t>SFR-110-41</t>
  </si>
  <si>
    <t>SFR-110-17</t>
  </si>
  <si>
    <t>SFR-107-07</t>
  </si>
  <si>
    <t>UT-062-07</t>
  </si>
  <si>
    <t>UT-074-03</t>
  </si>
  <si>
    <t>UT-042-02</t>
  </si>
  <si>
    <t>SFR-089-13</t>
  </si>
  <si>
    <t>UT-049-01</t>
  </si>
  <si>
    <t>UT-062-03</t>
  </si>
  <si>
    <t>UT-060-04</t>
  </si>
  <si>
    <t>SFR-083-14</t>
  </si>
  <si>
    <t>UT-70-01</t>
  </si>
  <si>
    <t>UT-66-01</t>
  </si>
  <si>
    <t>UT-062-06</t>
  </si>
  <si>
    <t>SFR-110-21</t>
  </si>
  <si>
    <t>SFR-110-35</t>
  </si>
  <si>
    <t>SFR-082-05</t>
  </si>
  <si>
    <t>해안(조위)범람지도</t>
  </si>
  <si>
    <t>SFR-110-10</t>
  </si>
  <si>
    <t>손실손상함수설정</t>
  </si>
  <si>
    <t>UT-062-02</t>
  </si>
  <si>
    <t>UT-080-03</t>
  </si>
  <si>
    <t>UT-033-02</t>
  </si>
  <si>
    <t>SFR-090-08</t>
  </si>
  <si>
    <t>SFR-110-13</t>
  </si>
  <si>
    <t>SFR-089-14</t>
  </si>
  <si>
    <t>SFR-107-02</t>
  </si>
  <si>
    <t>UT-056-04</t>
  </si>
  <si>
    <t>UT-063-05</t>
  </si>
  <si>
    <t>SFR-103-01</t>
  </si>
  <si>
    <t>사용자 교육 동영상</t>
  </si>
  <si>
    <t>SFR-110-23</t>
  </si>
  <si>
    <t>SFR-110-22</t>
  </si>
  <si>
    <t>UT-054-01</t>
  </si>
  <si>
    <t>SFR-110-28</t>
  </si>
  <si>
    <t>UT-078-23</t>
  </si>
  <si>
    <t>SFR-100-07</t>
  </si>
  <si>
    <t>UT-011-02</t>
  </si>
  <si>
    <t>SFR-110-37</t>
  </si>
  <si>
    <t>SFR-081-16</t>
  </si>
  <si>
    <t>SFR-097-11</t>
  </si>
  <si>
    <t>SFR-094-04</t>
  </si>
  <si>
    <t>UT-076-01</t>
  </si>
  <si>
    <t>SFR-110-24</t>
  </si>
  <si>
    <t>SFR-083-03</t>
  </si>
  <si>
    <t>SFR-096-06</t>
  </si>
  <si>
    <t>UT-076-17</t>
  </si>
  <si>
    <t>UT-037-04</t>
  </si>
  <si>
    <t>UT-68-01</t>
  </si>
  <si>
    <t>SFR-110-27</t>
  </si>
  <si>
    <t>SFR-102-01</t>
  </si>
  <si>
    <t>SFR-097-10</t>
  </si>
  <si>
    <t>SFR-089-17</t>
  </si>
  <si>
    <t>사용자교육 동영상관리</t>
  </si>
  <si>
    <t>SFR-103-16</t>
  </si>
  <si>
    <t>UT-043-04</t>
  </si>
  <si>
    <t>UT-082-03</t>
  </si>
  <si>
    <t>SFR-090-05</t>
  </si>
  <si>
    <t>SFR-110-15</t>
  </si>
  <si>
    <t>UT-084-02</t>
  </si>
  <si>
    <t>SFR-090-22</t>
  </si>
  <si>
    <t>SFR-097-07</t>
  </si>
  <si>
    <t>UT-079-02</t>
  </si>
  <si>
    <t>SFR-107-05</t>
  </si>
  <si>
    <t>SFR-097-04</t>
  </si>
  <si>
    <t>SFR-103-35</t>
  </si>
  <si>
    <t>SFR-093-11</t>
  </si>
  <si>
    <t>SFR-110-16</t>
  </si>
  <si>
    <t>UT-083-03</t>
  </si>
  <si>
    <t>SFR-110-20</t>
  </si>
  <si>
    <t>SFR-092-09</t>
  </si>
  <si>
    <t>레포트가 출력된다.</t>
  </si>
  <si>
    <t>SFR-093-07</t>
  </si>
  <si>
    <t>UT-041-01</t>
  </si>
  <si>
    <t>SFR-094-11</t>
  </si>
  <si>
    <t>SFR-094-01</t>
  </si>
  <si>
    <t>SFR-110-33</t>
  </si>
  <si>
    <t>SFR-098-02</t>
  </si>
  <si>
    <t>호우사전피해 모의기능</t>
  </si>
  <si>
    <t>SFR-094-13</t>
  </si>
  <si>
    <t>SFR-098-01</t>
  </si>
  <si>
    <t>UT-062-08</t>
  </si>
  <si>
    <t>SFR-090-09</t>
  </si>
  <si>
    <t>SFR-099-03</t>
  </si>
  <si>
    <t>SFR-090-13</t>
  </si>
  <si>
    <t>SFR-097-09</t>
  </si>
  <si>
    <t>SFR-096-11</t>
  </si>
  <si>
    <t>재난통계 피해예측현황</t>
  </si>
  <si>
    <t>SFR-094-09</t>
  </si>
  <si>
    <t>UT-076-08</t>
  </si>
  <si>
    <t>UT-079-03</t>
  </si>
  <si>
    <t>SFR-083-25</t>
  </si>
  <si>
    <t>SFR-097-13</t>
  </si>
  <si>
    <t>SFR-109-03</t>
  </si>
  <si>
    <t>UT-048-12</t>
  </si>
  <si>
    <t>UT-050-01</t>
  </si>
  <si>
    <t>SFR-107-11</t>
  </si>
  <si>
    <t>SFR-105-10</t>
  </si>
  <si>
    <t>UT-048-14</t>
  </si>
  <si>
    <t>UT-027-11</t>
  </si>
  <si>
    <t>UT-007-01</t>
  </si>
  <si>
    <t>단계별 행동요령 입력</t>
  </si>
  <si>
    <t>UT-045-01</t>
  </si>
  <si>
    <t>FAQ 페이지 테이블</t>
  </si>
  <si>
    <t>UT-083-02</t>
  </si>
  <si>
    <t>SFR-093-09</t>
  </si>
  <si>
    <t>지역별 취약인구 관리</t>
  </si>
  <si>
    <t>SFR-110-05</t>
  </si>
  <si>
    <t>SFR-106-01</t>
  </si>
  <si>
    <t>SFR-105-05</t>
  </si>
  <si>
    <t>메뉴별 권한관리 기능</t>
  </si>
  <si>
    <t>UT-080-02</t>
  </si>
  <si>
    <t>SFR-102-02</t>
  </si>
  <si>
    <t>SFR-109-02</t>
  </si>
  <si>
    <t>UT-053-03</t>
  </si>
  <si>
    <t>UT-054-03</t>
  </si>
  <si>
    <t>SFR-106-04</t>
  </si>
  <si>
    <t>SFR-103-03</t>
  </si>
  <si>
    <t>SFR-099-04</t>
  </si>
  <si>
    <t>SFR-100-06</t>
  </si>
  <si>
    <t>UT-083-01</t>
  </si>
  <si>
    <t>SFR-105-16</t>
  </si>
  <si>
    <t>SFR-107-04</t>
  </si>
  <si>
    <t>SFR-113-25</t>
  </si>
  <si>
    <t>SFR-106-03</t>
  </si>
  <si>
    <t>SFR-112-15</t>
  </si>
  <si>
    <t>SFR-100-01</t>
  </si>
  <si>
    <t>SFR-110-04</t>
  </si>
  <si>
    <t>SFR-105-15</t>
  </si>
  <si>
    <t>시험항목 및 처리절차</t>
  </si>
  <si>
    <t>SFR-107-08</t>
  </si>
  <si>
    <t>SFR-108-03</t>
  </si>
  <si>
    <t>SFR-100-05</t>
  </si>
  <si>
    <t>UT-083-04</t>
  </si>
  <si>
    <t>SFR-107-03</t>
  </si>
  <si>
    <t>SFR-111-07</t>
  </si>
  <si>
    <t>SFR-111-09</t>
  </si>
  <si>
    <t>UT-082-01</t>
  </si>
  <si>
    <t>SFR-108-05</t>
  </si>
  <si>
    <t>SFR-112-40</t>
  </si>
  <si>
    <t>SFR-112-02</t>
  </si>
  <si>
    <t>SFR-112-08</t>
  </si>
  <si>
    <t>FAQ 페이지 관리</t>
  </si>
  <si>
    <t>SFR-107-10</t>
  </si>
  <si>
    <t>SFR-105-12</t>
  </si>
  <si>
    <t>SFR-108-01</t>
  </si>
  <si>
    <t>SFR-112-33</t>
  </si>
  <si>
    <t>SFR-100-09</t>
  </si>
  <si>
    <t>SFR-106-02</t>
  </si>
  <si>
    <t>SFR-097-01</t>
  </si>
  <si>
    <t>SFR-112-19</t>
  </si>
  <si>
    <t>SFR-112-01</t>
  </si>
  <si>
    <t>분석 기초 자료 관리</t>
  </si>
  <si>
    <t>SFR-104-01</t>
  </si>
  <si>
    <t>SFR-112-04</t>
  </si>
  <si>
    <t>SFR-098-05</t>
  </si>
  <si>
    <t>SFR-111-02</t>
  </si>
  <si>
    <t>SFR-107-01</t>
  </si>
  <si>
    <t>SFR-105-18</t>
  </si>
  <si>
    <t>SFR-111-08</t>
  </si>
  <si>
    <t>UT-051-01</t>
  </si>
  <si>
    <t>UT-048-10</t>
  </si>
  <si>
    <t>SFR-108-02</t>
  </si>
  <si>
    <t>SFR-105-13</t>
  </si>
  <si>
    <t>UT-053-04</t>
  </si>
  <si>
    <t>UT-078-13</t>
  </si>
  <si>
    <t>SFR-113-04</t>
  </si>
  <si>
    <t>UT-084-03</t>
  </si>
  <si>
    <t>SFR-112-23</t>
  </si>
  <si>
    <t>이중로그인 통계 조회</t>
  </si>
  <si>
    <t>SFR-113-06</t>
  </si>
  <si>
    <t>SFR-099-02</t>
  </si>
  <si>
    <t>SFR-112-31</t>
  </si>
  <si>
    <t>SFR-111-03</t>
  </si>
  <si>
    <t>침수심, 손상률</t>
  </si>
  <si>
    <t>메뉴별 권한관리 삭제</t>
  </si>
  <si>
    <t>SFR-113-12</t>
  </si>
  <si>
    <t>SFR-110-08</t>
  </si>
  <si>
    <t>UT-055-01</t>
  </si>
  <si>
    <t>SFR-101-01</t>
  </si>
  <si>
    <t>SFR-113-01</t>
  </si>
  <si>
    <t>SFR-113-10</t>
  </si>
  <si>
    <t>메뉴별 권한관리 조회</t>
  </si>
  <si>
    <t>SFR-112-09</t>
  </si>
  <si>
    <t>SFR-108-04</t>
  </si>
  <si>
    <t>SFR-111-01</t>
  </si>
  <si>
    <t>SFR-110-03</t>
  </si>
  <si>
    <t>UT-077-07</t>
  </si>
  <si>
    <t>UT-050-03</t>
  </si>
  <si>
    <t>SFR-095-03</t>
  </si>
  <si>
    <t>UT-053-02</t>
  </si>
  <si>
    <t>SFR-096-02</t>
  </si>
  <si>
    <t>메뉴별 권한관리 입력</t>
  </si>
  <si>
    <t>UT-077-03</t>
  </si>
  <si>
    <t>SFR-112-07</t>
  </si>
  <si>
    <t>비고
(결함번호)</t>
  </si>
  <si>
    <t>SFR-112-05</t>
  </si>
  <si>
    <t>UT-051-02</t>
  </si>
  <si>
    <t>SFR-112-32</t>
  </si>
  <si>
    <t>UT-078-03</t>
  </si>
  <si>
    <t>FAQ 페이지 삭제</t>
  </si>
  <si>
    <t>UT-011-03</t>
  </si>
  <si>
    <t>UT-021-03</t>
  </si>
  <si>
    <t>UT-014-04</t>
  </si>
  <si>
    <t>UT-028-01</t>
  </si>
  <si>
    <t>UT-014-03</t>
  </si>
  <si>
    <t>UT-019-01</t>
  </si>
  <si>
    <t>UT-018-02</t>
  </si>
  <si>
    <t>단계별 행동요령 삭제</t>
  </si>
  <si>
    <t>UT-008-01</t>
  </si>
  <si>
    <t>UT-018-04</t>
  </si>
  <si>
    <t>UT-013-03</t>
  </si>
  <si>
    <t>UT-050-04</t>
  </si>
  <si>
    <t>SFR-097-02</t>
  </si>
  <si>
    <t>수위, 유량 조회기능</t>
  </si>
  <si>
    <t>UT-022-02</t>
  </si>
  <si>
    <t>UT-011-05</t>
  </si>
  <si>
    <t>SFR-089-25</t>
  </si>
  <si>
    <t>UT-015-05</t>
  </si>
  <si>
    <t>UT-048-02</t>
  </si>
  <si>
    <t>SFR-089-33</t>
  </si>
  <si>
    <t>UT-062-11</t>
  </si>
  <si>
    <t>UT-014-01</t>
  </si>
  <si>
    <t>UT-078-37</t>
  </si>
  <si>
    <t>UT-052-03</t>
  </si>
  <si>
    <t>UT-062-10</t>
  </si>
  <si>
    <t>UT-078-06</t>
  </si>
  <si>
    <t>UT-023-03</t>
  </si>
  <si>
    <t>UT-016-02</t>
  </si>
  <si>
    <t>SFR-089-19</t>
  </si>
  <si>
    <t>SFR-090-01</t>
  </si>
  <si>
    <t>UT-045-03</t>
  </si>
  <si>
    <t>SFR-096-09</t>
  </si>
  <si>
    <t>외부범람도 관리</t>
  </si>
  <si>
    <t>UT-027-08</t>
  </si>
  <si>
    <t>SFR-093-02</t>
  </si>
  <si>
    <t>UT-077-02</t>
  </si>
  <si>
    <t>UT-020-06</t>
  </si>
  <si>
    <t>xml 파일 확인</t>
  </si>
  <si>
    <t>UT-013-02</t>
  </si>
  <si>
    <t>UT-080-04</t>
  </si>
  <si>
    <t>UT-043-03</t>
  </si>
  <si>
    <t>SFR-089-18</t>
  </si>
  <si>
    <t>시군구별 면적 관리</t>
  </si>
  <si>
    <t>SFR-096-05</t>
  </si>
  <si>
    <t>UT-006-01</t>
  </si>
  <si>
    <t>UT-076-43</t>
  </si>
  <si>
    <t>UT-027-20</t>
  </si>
  <si>
    <t>토지피복도 연계</t>
  </si>
  <si>
    <t>UT-078-21</t>
  </si>
  <si>
    <t>SFR-113-07</t>
  </si>
  <si>
    <t>이중로그인 차단</t>
  </si>
  <si>
    <t>SFR-090-21</t>
  </si>
  <si>
    <t>SFR-113-09</t>
  </si>
  <si>
    <t>UT-011-10</t>
  </si>
  <si>
    <t>분야, 항목, 속성</t>
  </si>
  <si>
    <t>SFR-089-30</t>
  </si>
  <si>
    <t>UT-045-06</t>
  </si>
  <si>
    <t>UT-022-03</t>
  </si>
  <si>
    <t>SFR-093-06</t>
  </si>
  <si>
    <t>UT-078-29</t>
  </si>
  <si>
    <t>SFR-093-14</t>
  </si>
  <si>
    <t>SFR-090-18</t>
  </si>
  <si>
    <t>UT-078-17</t>
  </si>
  <si>
    <t>SFR-093-04</t>
  </si>
  <si>
    <t>SFR-090-14</t>
  </si>
  <si>
    <t>SFR-092-02</t>
  </si>
  <si>
    <t>SFR-089-26</t>
  </si>
  <si>
    <t>SFR-090-19</t>
  </si>
  <si>
    <t>SFR-113-13</t>
  </si>
  <si>
    <t>SFR-093-12</t>
  </si>
  <si>
    <t>SFR-090-15</t>
  </si>
  <si>
    <t>UT-004-13</t>
  </si>
  <si>
    <t>UT-078-39</t>
  </si>
  <si>
    <t>UT-045-07</t>
  </si>
  <si>
    <t>SFR-094-03</t>
  </si>
  <si>
    <t>SFR-112-30</t>
  </si>
  <si>
    <t>UT-004-12</t>
  </si>
  <si>
    <t>SFR-091-02</t>
  </si>
  <si>
    <t>SFR-093-05</t>
  </si>
  <si>
    <t>재난통계 가중치 설정</t>
  </si>
  <si>
    <t>SFR-091-05</t>
  </si>
  <si>
    <t>UT-011-01</t>
  </si>
  <si>
    <t>공통상세코드 정보</t>
  </si>
  <si>
    <t>UT-078-38</t>
  </si>
  <si>
    <t>SFR-112-22</t>
  </si>
  <si>
    <t>SFR-112-39</t>
  </si>
  <si>
    <t>SFR-112-16</t>
  </si>
  <si>
    <t>SFR-112-17</t>
  </si>
  <si>
    <t>SFR-092-03</t>
  </si>
  <si>
    <t>SFR-093-03</t>
  </si>
  <si>
    <t>SFR-090-02</t>
  </si>
  <si>
    <t>SFR-103-04</t>
  </si>
  <si>
    <t>SFR-113-03</t>
  </si>
  <si>
    <t>UT-004-16</t>
  </si>
  <si>
    <t>UT-048-07</t>
  </si>
  <si>
    <t>SFR-112-34</t>
  </si>
  <si>
    <t>SFR-112-13</t>
  </si>
  <si>
    <t>UT-047-04</t>
  </si>
  <si>
    <t>UT-70-02</t>
  </si>
  <si>
    <t>UT-078-36</t>
  </si>
  <si>
    <t>SFR-093-13</t>
  </si>
  <si>
    <t>SFR-092-01</t>
  </si>
  <si>
    <t>UT-076-06</t>
  </si>
  <si>
    <t>UT-011-07</t>
  </si>
  <si>
    <t>SFR-093-01</t>
  </si>
  <si>
    <t>SFR-101-04</t>
  </si>
  <si>
    <t>UT-084-04</t>
  </si>
  <si>
    <t>SFR-083-06</t>
  </si>
  <si>
    <t>FAQ 페이지 조회</t>
  </si>
  <si>
    <t>공통코드 테이블</t>
  </si>
  <si>
    <t>UT-082-04</t>
  </si>
  <si>
    <t>SFR-109-01</t>
  </si>
  <si>
    <t>SFR-084-12</t>
  </si>
  <si>
    <t>SFR-096-01</t>
  </si>
  <si>
    <t>UT-011-09</t>
  </si>
  <si>
    <t>SFR-084-05</t>
  </si>
  <si>
    <t>UT-69-01</t>
  </si>
  <si>
    <t>UT-076-02</t>
  </si>
  <si>
    <t>UT-011-04</t>
  </si>
  <si>
    <t>SFR-103-36</t>
  </si>
  <si>
    <t>SFR-112-12</t>
  </si>
  <si>
    <t>UT-67-01</t>
  </si>
  <si>
    <t>UT-047-01</t>
  </si>
  <si>
    <t>SFR-090-20</t>
  </si>
  <si>
    <t>UT-060-01</t>
  </si>
  <si>
    <t>UT-077-06</t>
  </si>
  <si>
    <t>UT-015-03</t>
  </si>
  <si>
    <t>유역 강우 조회</t>
  </si>
  <si>
    <t>SFR-083-09</t>
  </si>
  <si>
    <t>UT-048-13</t>
  </si>
  <si>
    <t>UT-013-05</t>
  </si>
  <si>
    <t>권한정보
메뉴정보</t>
  </si>
  <si>
    <t>SFR-112-37</t>
  </si>
  <si>
    <t>SFR-083-10</t>
  </si>
  <si>
    <t>UT-048-11</t>
  </si>
  <si>
    <t>SFR-111-05</t>
  </si>
  <si>
    <t>SFR-079-08</t>
  </si>
  <si>
    <t>UT-005-01</t>
  </si>
  <si>
    <t>UT-005-04</t>
  </si>
  <si>
    <t>SFR-087-01</t>
  </si>
  <si>
    <t>UT-002-03</t>
  </si>
  <si>
    <t>SFR-112-18</t>
  </si>
  <si>
    <t>SFR-079-14</t>
  </si>
  <si>
    <t>SFR-113-08</t>
  </si>
  <si>
    <t>UT-018-06</t>
  </si>
  <si>
    <t>SFR-083-23</t>
  </si>
  <si>
    <t>SFR-110-39</t>
  </si>
  <si>
    <t>SFR-112-27</t>
  </si>
  <si>
    <t>공통 코드 관리</t>
  </si>
  <si>
    <t>UT-043-02</t>
  </si>
  <si>
    <t>UT-015-01</t>
  </si>
  <si>
    <t>UT-078-24</t>
  </si>
  <si>
    <t>SFR-110-40</t>
  </si>
  <si>
    <t>UT-045-04</t>
  </si>
  <si>
    <t>UT-009-01</t>
  </si>
  <si>
    <t>SFR-083-24</t>
  </si>
  <si>
    <t>SFR-084-09</t>
  </si>
  <si>
    <t>UT-054-04</t>
  </si>
  <si>
    <t>UT-019-05</t>
  </si>
  <si>
    <t>SFR-097-06</t>
  </si>
  <si>
    <t>SFR-096-04</t>
  </si>
  <si>
    <t>SFR-079-25</t>
  </si>
  <si>
    <t>UT-011-08</t>
  </si>
  <si>
    <t>UT-061-01</t>
  </si>
  <si>
    <t>UT-016-01</t>
  </si>
  <si>
    <t>UT-020-02</t>
  </si>
  <si>
    <t>UT-078-01</t>
  </si>
  <si>
    <t>UT-025-01</t>
  </si>
  <si>
    <t>FAQ 페이지 수정</t>
  </si>
  <si>
    <t>SFR-112-28</t>
  </si>
  <si>
    <t>SFR-084-06</t>
  </si>
  <si>
    <t>UT-016-05</t>
  </si>
  <si>
    <t>SFR-093-10</t>
  </si>
  <si>
    <t>SFR-113-23</t>
  </si>
  <si>
    <t>SFR-095-01</t>
  </si>
  <si>
    <t>UT-076-28</t>
  </si>
  <si>
    <t>UT-048-08</t>
  </si>
  <si>
    <t>SFR-110-06</t>
  </si>
  <si>
    <t>UT-078-02</t>
  </si>
  <si>
    <t>SFR-083-22</t>
  </si>
  <si>
    <t>SFR-078-01</t>
  </si>
  <si>
    <t>UT-076-19</t>
  </si>
  <si>
    <t>AWS 강우 조회</t>
  </si>
  <si>
    <t>UT-004-03</t>
  </si>
  <si>
    <t>UT-078-14</t>
  </si>
  <si>
    <t>SFR-094-12</t>
  </si>
  <si>
    <t>SFR-094-05</t>
  </si>
  <si>
    <t>SFR-097-05</t>
  </si>
  <si>
    <t>SFR-096-08</t>
  </si>
  <si>
    <t>UT-062-22</t>
  </si>
  <si>
    <t>UT-68-03</t>
  </si>
  <si>
    <t>UT-076-21</t>
  </si>
  <si>
    <t>SFR-097-08</t>
  </si>
  <si>
    <t>UT-048-04</t>
  </si>
  <si>
    <t>UT-079-01</t>
  </si>
  <si>
    <t>UT-076-27</t>
  </si>
  <si>
    <t>피해목적물 지도 표출</t>
  </si>
  <si>
    <t>SFR-089-42</t>
  </si>
  <si>
    <t>SFR-102-06</t>
  </si>
  <si>
    <t>SFR-094-08</t>
  </si>
  <si>
    <t>UT-078-08</t>
  </si>
  <si>
    <t>SFR-092-04</t>
  </si>
  <si>
    <t>SFR-096-12</t>
  </si>
  <si>
    <t>UT-076-40</t>
  </si>
  <si>
    <t>SFR-103-13</t>
  </si>
  <si>
    <t>상황전파 메신저</t>
  </si>
  <si>
    <t>SFR-113-17</t>
  </si>
  <si>
    <t>SFR-113-24</t>
  </si>
  <si>
    <t>SFR-103-26</t>
  </si>
  <si>
    <t>SFR-093-08</t>
  </si>
  <si>
    <t>SFR-103-24</t>
  </si>
  <si>
    <t>UT-078-27</t>
  </si>
  <si>
    <t>UT-038-01</t>
  </si>
  <si>
    <t>SFR-089-36</t>
  </si>
  <si>
    <t>메뉴별 권한관리</t>
  </si>
  <si>
    <t>사용자별 메뉴권한관리</t>
  </si>
  <si>
    <t>SFR-098-03</t>
  </si>
  <si>
    <t>SFR-096-10</t>
  </si>
  <si>
    <t>SFR-085-07</t>
  </si>
  <si>
    <t>SFR-112-36</t>
  </si>
  <si>
    <t>SFR-110-36</t>
  </si>
  <si>
    <t>SFR-113-18</t>
  </si>
  <si>
    <t>SFR-097-12</t>
  </si>
  <si>
    <t>SFR-094-02</t>
  </si>
  <si>
    <t>UT-078-11</t>
  </si>
  <si>
    <t>SFR-112-06</t>
  </si>
  <si>
    <t>UT-078-16</t>
  </si>
  <si>
    <t>UT-077-04</t>
  </si>
  <si>
    <t>UT-076-07</t>
  </si>
  <si>
    <t>SFR-101-07</t>
  </si>
  <si>
    <t>단위테스트결과서</t>
  </si>
  <si>
    <t>SFR-113-15</t>
  </si>
  <si>
    <t>UT-078-18</t>
  </si>
  <si>
    <t>SFR-100-08</t>
  </si>
  <si>
    <t>SFR-103-22</t>
  </si>
  <si>
    <t>UT-078-04</t>
  </si>
  <si>
    <t>SFR-113-20</t>
  </si>
  <si>
    <t>관리자 편의기능</t>
  </si>
  <si>
    <t>SFR-112-38</t>
  </si>
  <si>
    <t>UT-048-03</t>
  </si>
  <si>
    <t>SFR-112-10</t>
  </si>
  <si>
    <t>UT-057-01</t>
  </si>
  <si>
    <t>SFR-102-04</t>
  </si>
  <si>
    <t>SFR-112-25</t>
  </si>
  <si>
    <t>UT-074-04</t>
  </si>
  <si>
    <t>SFR-084-02</t>
  </si>
  <si>
    <t>SFR-097-03</t>
  </si>
  <si>
    <t>SFR-112-35</t>
  </si>
  <si>
    <t>SFR-100-11</t>
  </si>
  <si>
    <t>UT-079-04</t>
  </si>
  <si>
    <t>UT-044-01</t>
  </si>
  <si>
    <t>SFR-102-07</t>
  </si>
  <si>
    <t>SFR-094-10</t>
  </si>
  <si>
    <t>SFR-103-18</t>
  </si>
  <si>
    <t>SFR-112-14</t>
  </si>
  <si>
    <t>SFR-103-32</t>
  </si>
  <si>
    <t>SFR-113-21</t>
  </si>
  <si>
    <t>SFR-101-08</t>
  </si>
  <si>
    <t>SFR-103-08</t>
  </si>
  <si>
    <t>SFR-103-30</t>
  </si>
  <si>
    <t>SFR-103-23</t>
  </si>
  <si>
    <t>SFR-103-02</t>
  </si>
  <si>
    <t>SFR-103-17</t>
  </si>
  <si>
    <t>SFR-112-29</t>
  </si>
  <si>
    <t>SFR-100-14</t>
  </si>
  <si>
    <t>SFR-113-19</t>
  </si>
  <si>
    <t>UT-076-10</t>
  </si>
  <si>
    <t>SFR-083-11</t>
  </si>
  <si>
    <t>UT-076-42</t>
  </si>
  <si>
    <t>SFR-086-02</t>
  </si>
  <si>
    <t>SFR-112-24</t>
  </si>
  <si>
    <t>SFR-099-05</t>
  </si>
  <si>
    <t>UT-078-28</t>
  </si>
  <si>
    <t>SFR-103-06</t>
  </si>
  <si>
    <t>UT-078-26</t>
  </si>
  <si>
    <t>SFR-083-07</t>
  </si>
  <si>
    <t>SFR-113-02</t>
  </si>
  <si>
    <t>SFR-105-09</t>
  </si>
  <si>
    <t>UT-70-03</t>
  </si>
  <si>
    <t>SFR-103-11</t>
  </si>
  <si>
    <t>SFR-088-06</t>
  </si>
  <si>
    <t>SFR-103-10</t>
  </si>
  <si>
    <t>SFR-103-15</t>
  </si>
  <si>
    <t>SFR-105-17</t>
  </si>
  <si>
    <t>SFR-102-05</t>
  </si>
  <si>
    <t>SFR-103-20</t>
  </si>
  <si>
    <t>SFR-103-27</t>
  </si>
  <si>
    <t>UT-078-09</t>
  </si>
  <si>
    <t>UT-044-03</t>
  </si>
  <si>
    <t>SFR-103-05</t>
  </si>
  <si>
    <t>SFR-103-12</t>
  </si>
  <si>
    <t>과거 모의기능 조회</t>
  </si>
  <si>
    <t>SFR-088-02</t>
  </si>
  <si>
    <t>SFR-103-29</t>
  </si>
  <si>
    <t>SFR-103-28</t>
  </si>
  <si>
    <t>UT-077-08</t>
  </si>
  <si>
    <t>SFR-103-21</t>
  </si>
  <si>
    <t>범람도가 삭제된다.</t>
  </si>
  <si>
    <t>SFR-105-08</t>
  </si>
  <si>
    <t>SFR-110-11</t>
  </si>
  <si>
    <t>SFR-083-12</t>
  </si>
  <si>
    <t>SFR-113-16</t>
  </si>
  <si>
    <t>SFR-105-06</t>
  </si>
  <si>
    <t>UT-052-04</t>
  </si>
  <si>
    <t>SFR-103-31</t>
  </si>
  <si>
    <t>관련 프로그램ID</t>
  </si>
  <si>
    <t>SFR-112-26</t>
  </si>
  <si>
    <t>SFR-102-03</t>
  </si>
  <si>
    <t>UT-077-05</t>
  </si>
  <si>
    <t>SFR-102-08</t>
  </si>
  <si>
    <t>SFR-113-05</t>
  </si>
  <si>
    <t>UT-084-01</t>
  </si>
  <si>
    <t>SFR-098-04</t>
  </si>
  <si>
    <t>SFR-113-14</t>
  </si>
  <si>
    <t>SFR-083-13</t>
  </si>
  <si>
    <t>UT-081-01</t>
  </si>
  <si>
    <t>SFR-083-21</t>
  </si>
  <si>
    <t>SFR-112-21</t>
  </si>
  <si>
    <t>SFR-103-14</t>
  </si>
  <si>
    <t>SFR-096-07</t>
  </si>
  <si>
    <t>SFR-084-01</t>
  </si>
  <si>
    <t>SFR-084-11</t>
  </si>
  <si>
    <t>SFR-103-09</t>
  </si>
  <si>
    <t>UT-052-02</t>
  </si>
  <si>
    <t>UT-050-02</t>
  </si>
  <si>
    <t>UT-078-34</t>
  </si>
  <si>
    <t>SFR-113-22</t>
  </si>
  <si>
    <t>SFR-105-07</t>
  </si>
  <si>
    <t>SFR-100-03</t>
  </si>
  <si>
    <t>SFR-104-03</t>
  </si>
  <si>
    <t>SFR-100-12</t>
  </si>
  <si>
    <t>SFR-089-28</t>
  </si>
  <si>
    <t>SFR-089-22</t>
  </si>
  <si>
    <t>SFR-113-11</t>
  </si>
  <si>
    <t>UT-047-02</t>
  </si>
  <si>
    <t>SFR-103-19</t>
  </si>
  <si>
    <t>SFR-105-02</t>
  </si>
  <si>
    <t>SFR-110-12</t>
  </si>
  <si>
    <t>SFR-110-38</t>
  </si>
  <si>
    <t>SFR-105-03</t>
  </si>
  <si>
    <t>SFR-084-04</t>
  </si>
  <si>
    <t>SFR-101-03</t>
  </si>
  <si>
    <t>UT-076-39</t>
  </si>
  <si>
    <t>SFR-085-06</t>
  </si>
  <si>
    <t>SFR-089-09</t>
  </si>
  <si>
    <t>SFR-085-10</t>
  </si>
  <si>
    <t>SFR-089-40</t>
  </si>
  <si>
    <t>SFR-100-04</t>
  </si>
  <si>
    <t>SFR-100-02</t>
  </si>
  <si>
    <t>SFR-082-03</t>
  </si>
  <si>
    <t>SFR-089-08</t>
  </si>
  <si>
    <t>UT-062-18</t>
  </si>
  <si>
    <t>SFR-085-12</t>
  </si>
  <si>
    <t>SFR-110-09</t>
  </si>
  <si>
    <t>SFR-083-04</t>
  </si>
  <si>
    <t>SFR-089-29</t>
  </si>
  <si>
    <t>SFR-089-37</t>
  </si>
  <si>
    <t>SFR-087-04</t>
  </si>
  <si>
    <t>SFR-089-01</t>
  </si>
  <si>
    <t>UT-082-02</t>
  </si>
  <si>
    <t>UT-043-01</t>
  </si>
  <si>
    <t>SFR-089-11</t>
  </si>
  <si>
    <t>상황전파메신저정책관리</t>
  </si>
  <si>
    <t>SFR-083-17</t>
  </si>
  <si>
    <t>SFR-083-08</t>
  </si>
  <si>
    <t>UT-078-19</t>
  </si>
  <si>
    <t>SFR-105-14</t>
  </si>
  <si>
    <t>UT-047-03</t>
  </si>
  <si>
    <t>SFR-082-02</t>
  </si>
  <si>
    <t>UT-042-01</t>
  </si>
  <si>
    <t>SFR-090-04</t>
  </si>
  <si>
    <t>SFR-089-32</t>
  </si>
  <si>
    <t>SFR-080-05</t>
  </si>
  <si>
    <t>SFR-081-17</t>
  </si>
  <si>
    <t>Web Service</t>
  </si>
  <si>
    <t>이중로그인 관리</t>
  </si>
  <si>
    <t>SFR-089-23</t>
  </si>
  <si>
    <t>SFR-083-19</t>
  </si>
  <si>
    <t>SFR-089-39</t>
  </si>
  <si>
    <t>SFR-087-03</t>
  </si>
  <si>
    <t>UT-040-01</t>
  </si>
  <si>
    <t>SFR-105-11</t>
  </si>
  <si>
    <t>SFR-089-20</t>
  </si>
  <si>
    <t>SFR-080-04</t>
  </si>
  <si>
    <t>UT-076-16</t>
  </si>
  <si>
    <t>SFR-110-31</t>
  </si>
  <si>
    <t>SFR-081-06</t>
  </si>
  <si>
    <t>SFR-081-08</t>
  </si>
  <si>
    <t>UT-68-02</t>
  </si>
  <si>
    <t>UT-078-31</t>
  </si>
  <si>
    <t>호우피해 예측 현황</t>
  </si>
  <si>
    <t>UT-062-23</t>
  </si>
  <si>
    <t>SFR-089-16</t>
  </si>
  <si>
    <t>SFR-089-12</t>
  </si>
  <si>
    <t>과거 피해원인 조회</t>
  </si>
  <si>
    <t>SFR-089-04</t>
  </si>
  <si>
    <t>SFR-089-34</t>
  </si>
  <si>
    <t>UT-68-04</t>
  </si>
  <si>
    <t>SFR-087-06</t>
  </si>
  <si>
    <t>SFR-092-08</t>
  </si>
  <si>
    <t>SFR-087-05</t>
  </si>
  <si>
    <t>UT-076-20</t>
  </si>
  <si>
    <t>SFR-081-09</t>
  </si>
  <si>
    <t>SFR-090-12</t>
  </si>
  <si>
    <t>UT-076-23</t>
  </si>
  <si>
    <t>UT-67-05</t>
  </si>
  <si>
    <t>SFR-090-07</t>
  </si>
  <si>
    <t>UT-076-03</t>
  </si>
  <si>
    <t>SFR-089-07</t>
  </si>
  <si>
    <t>UT-060-07</t>
  </si>
  <si>
    <t>UT-076-11</t>
  </si>
  <si>
    <t>UT-026-02</t>
  </si>
  <si>
    <t>UT-076-13</t>
  </si>
  <si>
    <t>UT-029-03</t>
  </si>
  <si>
    <t>SFR-089-03</t>
  </si>
  <si>
    <t>UT-020-05</t>
  </si>
  <si>
    <t>UT-033-01</t>
  </si>
  <si>
    <t>UT-028-02</t>
  </si>
  <si>
    <t>UT-076-04</t>
  </si>
  <si>
    <t>예측 유역 강우 정보</t>
  </si>
  <si>
    <t>UT-029-02</t>
  </si>
  <si>
    <t>시도,시군도,빈도</t>
  </si>
  <si>
    <t>SFR-092-06</t>
  </si>
  <si>
    <t>UT-034-02</t>
  </si>
  <si>
    <t>SFR-085-03</t>
  </si>
  <si>
    <t>해안(조위)범람도</t>
  </si>
  <si>
    <t>SFR-088-01</t>
  </si>
  <si>
    <t>UT-024-02</t>
  </si>
  <si>
    <r>
      <t>재난통계 분석 강우 설정</t>
    </r>
    <r>
      <rPr>
        <strike/>
        <sz val="10"/>
        <color rgb="FF000000"/>
        <rFont val="휴먼명조"/>
        <charset val="129"/>
      </rPr>
      <t xml:space="preserve">
</t>
    </r>
  </si>
  <si>
    <r>
      <t>시군구(읍면동)별/일자별</t>
    </r>
    <r>
      <rPr>
        <strike/>
        <sz val="10"/>
        <color rgb="FF000000"/>
        <rFont val="휴먼명조"/>
        <charset val="129"/>
      </rPr>
      <t>/피해시설물별</t>
    </r>
    <r>
      <rPr>
        <sz val="10"/>
        <color rgb="FF000000"/>
        <rFont val="휴먼명조"/>
        <charset val="129"/>
      </rPr>
      <t xml:space="preserve"> 강우정보 맵핑 삭제</t>
    </r>
  </si>
  <si>
    <r>
      <t>시군구(읍면동)별/일자별</t>
    </r>
    <r>
      <rPr>
        <strike/>
        <sz val="10"/>
        <color rgb="FF000000"/>
        <rFont val="휴먼명조"/>
        <charset val="129"/>
      </rPr>
      <t>/피해시설물별</t>
    </r>
    <r>
      <rPr>
        <sz val="10"/>
        <color rgb="FF000000"/>
        <rFont val="휴먼명조"/>
        <charset val="129"/>
      </rPr>
      <t xml:space="preserve"> 강우정보 맵핑</t>
    </r>
  </si>
  <si>
    <t>모의 시뮬레이션 모드 분석결과 이력 통계 차트 생성</t>
  </si>
  <si>
    <t>모의 시뮬레이션 모드 분석결과 이력 통계 차트 조회</t>
  </si>
  <si>
    <t>다양한 위험지도 기반의 피해분석결과 중첩 표출 기능</t>
  </si>
  <si>
    <t xml:space="preserve">1. 이력조회 화면에서 삭제된내용이 없는지 확인한다.
</t>
  </si>
  <si>
    <t>M-NEMA-11-05-01
M-NEMA-09-01-01</t>
  </si>
  <si>
    <t>M-NEMA-05-07-01
M-NEMA-12-04-01</t>
  </si>
  <si>
    <t>피해 예측정보 비교분석 등 사용자관리자 기능 추가 개발</t>
  </si>
  <si>
    <t>M-NEMA-06-02-01
M-NEMA-06-05-01</t>
  </si>
  <si>
    <t>침수심이 반영된 SHP형태의 공간정보 데이터 입력 관리</t>
  </si>
  <si>
    <t>라이프라인 피해목적물(인벤토리) 피해액 분석 결과 입력</t>
  </si>
  <si>
    <t>시군구(읍면동)별/재해일자별 6시간 최대 강우 생성</t>
  </si>
  <si>
    <t>초단기 예측 강우 자료 월별 수신 현황 통계 레포트</t>
  </si>
  <si>
    <t>1. 체크박스에서 선택된 피해목적물만 표출 되는지 확인</t>
  </si>
  <si>
    <t>피해목적물(인벤토리) 피해액분석 정보를 관리 한다.</t>
  </si>
  <si>
    <t>풍수해저감종합계획상의 사업과 과거피해원인 매핑 테이블</t>
  </si>
  <si>
    <t>초단기 예측 강우 요청, 연계, DB입력을 관리 한다.</t>
  </si>
  <si>
    <t>시군구(읍면동)별/재해일자별 1시간 최대 강우 생성</t>
  </si>
  <si>
    <t>재난통계조회
방재자원 자료 조회
예경보 시설 자료 조회</t>
  </si>
  <si>
    <t>M-NEMA-04-03-01
M-NEMA-04-02-01</t>
  </si>
  <si>
    <t>5시간 피해목적물(인벤토리) 피해 분석 결과 테이블</t>
  </si>
  <si>
    <t>자료(오프라인 및 온라인) 수집 계획 및 현황 테이블</t>
  </si>
  <si>
    <t>1. 모의시뮬레이션 관리
2. 상세보기에 삭제버튼 클릭</t>
  </si>
  <si>
    <t>모의 시뮬레이션 모드 분석결과 이력 통계 레포트 삭제</t>
  </si>
  <si>
    <t>1.읍면동을 선택하면 피해목적물별 피해금액을 표출한다.</t>
  </si>
  <si>
    <t>강우모니터링을 통한 호우 사전피해예측 분석유역 테이블</t>
  </si>
  <si>
    <t>사용자 피해목적물(인벤토리) 속성정보를 관리 한다.</t>
  </si>
  <si>
    <t>신규 빈도별 풍수해 예측지도 생성(보간 알고리즘 적용)</t>
  </si>
  <si>
    <t>풍수해저감종합계획 사업 타당성 검토를 통한 우선순위 설정</t>
  </si>
  <si>
    <t>사용자 라이프라인 피해목적물(인벤토리) 속성정보 조회</t>
  </si>
  <si>
    <t>M-NEMA-12-07-01
M-NEMA-03-02-01</t>
  </si>
  <si>
    <t>국가 수문기상 재난안전 공동활용 시스템 구축(4차)</t>
  </si>
  <si>
    <t>시군별 사유시설(10종) 피해액 가중치를 관리 한다.</t>
  </si>
  <si>
    <t>호우 사전피해예측 지도 생성
피해목적물 피해액 분석</t>
  </si>
  <si>
    <t>모의 시뮬레이션 모드 분석결과 이력 통계 레포트 조회</t>
  </si>
  <si>
    <t>침수심이 반영된 SHP형태의 공간정보 데이터 테이블</t>
  </si>
  <si>
    <t>연계로그
서버모니터링로그
메뉴접속로그
배포판자료요청로그</t>
  </si>
  <si>
    <t>1. 정보가 삭제된다.
2. 갱신된 목록을 보여준다.</t>
  </si>
  <si>
    <t>사용자 건물 피해목적물(인벤토리) 속성정보를 관리 한다.</t>
  </si>
  <si>
    <t>1. 연도를 선택한다.
2. 검색 버튼을 클릭한다.</t>
  </si>
  <si>
    <t>2시간 피해목적물(인벤토리) 피해 분석 결과 테이블</t>
  </si>
  <si>
    <t>M-NEMA-11-01-01
M-NEMA-10-01-01</t>
  </si>
  <si>
    <t>4시간 피해목적물(인벤토리) 피해 분석 결과 테이블</t>
  </si>
  <si>
    <t>자료(오프라인 및 온라인) 수집 계획 및 현황 수정</t>
  </si>
  <si>
    <t>시군구(읍면동)별/재해일자별 3시간 최대 강우 생성</t>
  </si>
  <si>
    <t>1. 위험등급 분석 결과 해당 등급에 이력을 보여준다.</t>
  </si>
  <si>
    <t>1. 해안(조위) 재해지도 이력 리스트를 보여준다.</t>
  </si>
  <si>
    <t>모의 시뮬레이션 모드 분석결과 이력 통계 차트 삭제</t>
  </si>
  <si>
    <t>사용자 라이프라인 피해목적물(인벤토리) 속성정보 입력</t>
  </si>
  <si>
    <t>1. 테이블에 입력한 데이터 값들이 있는지 조회해 본다.</t>
  </si>
  <si>
    <t>2. 검색조건에 만족 하는 외수 재해지도 존재시 표출</t>
  </si>
  <si>
    <t>1. 이력조회 화면에서 수정한내용이 있는지 확인한다.</t>
  </si>
  <si>
    <t>자료(오프라인 및 온라인) 수집 계획 및 현황 삭제</t>
  </si>
  <si>
    <t>강우모니터링을 통한 호우 사전피해예측 분석유역 조회</t>
  </si>
  <si>
    <t>단계별 행동요령 및 지자체/유관기관 비상연락망 관리/표출</t>
  </si>
  <si>
    <t>빈도별 시나리오 재해지도 범위 내 피해시설물 지도표출</t>
  </si>
  <si>
    <t>사용자 라이프라인 피해목적물(인벤토리) 속성정보 삭제</t>
  </si>
  <si>
    <t>사용자 라이프라인 피해목적물(인벤토리) 속성정보 수정</t>
  </si>
  <si>
    <t>라이프라인 피해목적물 피해액 산정 결과 테이블 확인</t>
  </si>
  <si>
    <t>기초자료 이력 테이블(토지피복도, DEM, 토양도)</t>
  </si>
  <si>
    <t>피해 시설물별 시도/시군구 추이분석 기간 재해원인 정보</t>
  </si>
  <si>
    <t>모의 시뮬레이션 모드 분석결과 이력 통계 차트 테이블</t>
  </si>
  <si>
    <t xml:space="preserve">침수심이반영된SHP형태의등록되어진공간정보데이터지도표출 </t>
  </si>
  <si>
    <t>자료(오프라인 및 온라인) 수집 계획 및 현황 입력</t>
  </si>
  <si>
    <t>사용자 농경지 피해목적물(인벤토리) 속성정보 테이블</t>
  </si>
  <si>
    <t>시군구(읍면동)별/재해일자별 일 누적 최대 강우 생성</t>
  </si>
  <si>
    <t>시군구(읍면동)별/재해일자별 12시간 최대 강우 생성</t>
  </si>
  <si>
    <t>호우피해/재난통계 분석진행/이력 통합 확인 정보 조회</t>
  </si>
  <si>
    <t>사용자 농작물 피해목적물(인벤토리) 속성정보 테이블</t>
  </si>
  <si>
    <t>시군구별 추이분석기간 정보 / 재해명(피해원인) 입력</t>
  </si>
  <si>
    <t>모의 시뮬레이션 모드 분석결과 이력 통계 레포트 생성</t>
  </si>
  <si>
    <t>1. 1~6시간 피해액별피해목적물별 차트를 보여준다.</t>
  </si>
  <si>
    <t>모의 시뮬레이션 모드 분석결과 이력 통계 레포트 테이블</t>
  </si>
  <si>
    <t>NDMS 연계한 사용자 통합 로그인 연계 기능 개발</t>
  </si>
  <si>
    <t>UC-NEMA-004-02,
UC-NEMA-004-03</t>
  </si>
  <si>
    <t>자료(오프라인 및 온라인) 수집 계획 및 현황 조회</t>
  </si>
  <si>
    <t>M-NEMA-02-01-01
M-NEMA-02-03-01</t>
  </si>
  <si>
    <t>교통(철도) 피해목적물(인벤토리) Web Service</t>
  </si>
  <si>
    <t>라이프라인 피해목적물(인벤토리) Web Service</t>
  </si>
  <si>
    <t>호우사전피해결과 및 시나리오기반 피해결과 동시 표출</t>
  </si>
  <si>
    <t>자료(오프라인 및 온라인) 수집 계획 및 현황 관리</t>
  </si>
  <si>
    <t>호우피해예측 시간대별 침수예상지도 지리원 전송로그 생성</t>
  </si>
  <si>
    <t>호우피해예측 시간대별 침수예상지도 지리원 전송 조회</t>
  </si>
  <si>
    <t>시군구별/하천별/빈도별 외수 및 내수 재해지도 조회</t>
  </si>
  <si>
    <t>농작물 피해목적물(인벤토리) 피해액 분석 결과 입력</t>
  </si>
  <si>
    <t>1. 해당 등급이 삭제되고 등급의 이력도 삭제된다.</t>
  </si>
  <si>
    <t>강우모니터링을 통한 호우 사전피해예측 분석유역 설정</t>
  </si>
  <si>
    <t>3. 검색조건에 만족 하는 조위 재해지도 존재시 표출</t>
  </si>
  <si>
    <t>농경지 피해목적물(인벤토리) 피해액 분석 결과 입력</t>
  </si>
  <si>
    <t>사용자 라이프라인 피해목적물(인벤토리) 속성정보 테이블</t>
  </si>
  <si>
    <t>6시간 피해목적물(인벤토리) 피해 분석 결과 테이블</t>
  </si>
  <si>
    <t>현재일시 2017-08-21 00
지역 경기도 남양주시</t>
  </si>
  <si>
    <t xml:space="preserve">침수심이반영된SHP형태의등록되어진공간정보데이터조회 </t>
  </si>
  <si>
    <t>1. 수신일자를 선택한다.
2, 검색버튼을 클릭한다.</t>
  </si>
  <si>
    <t>지속 시간별 최대강우량 24시간
시군구 코드
분석일자</t>
  </si>
  <si>
    <t>재난통계기반 호우 사전피해예측 기능 전국기반 서비스 확대</t>
  </si>
  <si>
    <t>시군별 공공시설(13종) 피해액 가중치를 관리 한다.</t>
  </si>
  <si>
    <r>
      <t>시군구(읍면동)별/일자별</t>
    </r>
    <r>
      <rPr>
        <strike/>
        <sz val="10"/>
        <color rgb="FF000000"/>
        <rFont val="휴먼명조"/>
        <charset val="129"/>
      </rPr>
      <t>/피해시설물별</t>
    </r>
    <r>
      <rPr>
        <sz val="10"/>
        <color rgb="FF000000"/>
        <rFont val="휴먼명조"/>
        <charset val="129"/>
      </rPr>
      <t xml:space="preserve"> 강우정보 맵핑 생성</t>
    </r>
  </si>
  <si>
    <r>
      <t>시군구(읍면동)별/일자별</t>
    </r>
    <r>
      <rPr>
        <strike/>
        <sz val="10"/>
        <color rgb="FF000000"/>
        <rFont val="휴먼명조"/>
        <charset val="129"/>
      </rPr>
      <t>/피해시설물별</t>
    </r>
    <r>
      <rPr>
        <sz val="10"/>
        <color rgb="FF000000"/>
        <rFont val="휴먼명조"/>
        <charset val="129"/>
      </rPr>
      <t xml:space="preserve"> 강우정보 맵핑 수정</t>
    </r>
  </si>
  <si>
    <r>
      <t>시군구(읍면동)별/일자별</t>
    </r>
    <r>
      <rPr>
        <strike/>
        <sz val="10"/>
        <color rgb="FF000000"/>
        <rFont val="휴먼명조"/>
        <charset val="129"/>
      </rPr>
      <t>/피해시설물별</t>
    </r>
    <r>
      <rPr>
        <sz val="10"/>
        <color rgb="FF000000"/>
        <rFont val="휴먼명조"/>
        <charset val="129"/>
      </rPr>
      <t xml:space="preserve"> 강우정보 맵핑 조회</t>
    </r>
  </si>
  <si>
    <r>
      <t xml:space="preserve">시군별 공공시설(13종) 피해액 가중치 </t>
    </r>
    <r>
      <rPr>
        <strike/>
        <sz val="10"/>
        <color rgb="FFFF0000"/>
        <rFont val="휴먼명조"/>
        <charset val="129"/>
      </rPr>
      <t>설정</t>
    </r>
    <r>
      <rPr>
        <sz val="10"/>
        <color rgb="FF000000"/>
        <rFont val="휴먼명조"/>
        <charset val="129"/>
      </rPr>
      <t xml:space="preserve"> 입력</t>
    </r>
  </si>
  <si>
    <r>
      <t xml:space="preserve">시군별 공공시설(13종) 피해액 가중치 </t>
    </r>
    <r>
      <rPr>
        <strike/>
        <sz val="10"/>
        <color rgb="FFFF0000"/>
        <rFont val="휴먼명조"/>
        <charset val="129"/>
      </rPr>
      <t>설정</t>
    </r>
    <r>
      <rPr>
        <sz val="10"/>
        <color rgb="FF000000"/>
        <rFont val="휴먼명조"/>
        <charset val="129"/>
      </rPr>
      <t xml:space="preserve"> 조회</t>
    </r>
  </si>
  <si>
    <r>
      <t xml:space="preserve">시군별 공공시설(13종) 피해액 가중치 </t>
    </r>
    <r>
      <rPr>
        <strike/>
        <sz val="10"/>
        <color rgb="FFFF0000"/>
        <rFont val="휴먼명조"/>
        <charset val="129"/>
      </rPr>
      <t>설정</t>
    </r>
    <r>
      <rPr>
        <sz val="10"/>
        <color rgb="FF000000"/>
        <rFont val="휴먼명조"/>
        <charset val="129"/>
      </rPr>
      <t xml:space="preserve"> 삭제</t>
    </r>
  </si>
  <si>
    <r>
      <t xml:space="preserve">시군별 공공시설(13종) 피해액 가중치 </t>
    </r>
    <r>
      <rPr>
        <strike/>
        <sz val="10"/>
        <color rgb="FFFF0000"/>
        <rFont val="휴먼명조"/>
        <charset val="129"/>
      </rPr>
      <t>설정</t>
    </r>
    <r>
      <rPr>
        <sz val="10"/>
        <color rgb="FF000000"/>
        <rFont val="휴먼명조"/>
        <charset val="129"/>
      </rPr>
      <t xml:space="preserve"> 수정</t>
    </r>
  </si>
  <si>
    <r>
      <t xml:space="preserve">시군별 사유시설(10종) 피해액 가중치 </t>
    </r>
    <r>
      <rPr>
        <strike/>
        <sz val="10"/>
        <color rgb="FFFF0000"/>
        <rFont val="휴먼명조"/>
        <charset val="129"/>
      </rPr>
      <t>설정</t>
    </r>
    <r>
      <rPr>
        <sz val="10"/>
        <color rgb="FF000000"/>
        <rFont val="휴먼명조"/>
        <charset val="129"/>
      </rPr>
      <t xml:space="preserve"> 입력</t>
    </r>
  </si>
  <si>
    <r>
      <t xml:space="preserve">시군별 사유시설(10종) 피해액 가중치 </t>
    </r>
    <r>
      <rPr>
        <strike/>
        <sz val="10"/>
        <color rgb="FFFF0000"/>
        <rFont val="휴먼명조"/>
        <charset val="129"/>
      </rPr>
      <t>설정</t>
    </r>
    <r>
      <rPr>
        <sz val="10"/>
        <color rgb="FF000000"/>
        <rFont val="휴먼명조"/>
        <charset val="129"/>
      </rPr>
      <t xml:space="preserve"> 조회</t>
    </r>
  </si>
  <si>
    <r>
      <t xml:space="preserve">시군별 사유시설(10종) 피해액 가중치 </t>
    </r>
    <r>
      <rPr>
        <strike/>
        <sz val="10"/>
        <color rgb="FFFF0000"/>
        <rFont val="휴먼명조"/>
        <charset val="129"/>
      </rPr>
      <t>설정</t>
    </r>
    <r>
      <rPr>
        <sz val="10"/>
        <color rgb="FF000000"/>
        <rFont val="휴먼명조"/>
        <charset val="129"/>
      </rPr>
      <t xml:space="preserve"> 삭제</t>
    </r>
  </si>
  <si>
    <r>
      <t xml:space="preserve">시군별 사유시설(10종) 피해액 가중치 </t>
    </r>
    <r>
      <rPr>
        <strike/>
        <sz val="10"/>
        <color rgb="FFFF0000"/>
        <rFont val="휴먼명조"/>
        <charset val="129"/>
      </rPr>
      <t>설정</t>
    </r>
    <r>
      <rPr>
        <sz val="10"/>
        <color rgb="FF000000"/>
        <rFont val="휴먼명조"/>
        <charset val="129"/>
      </rPr>
      <t xml:space="preserve"> 수정</t>
    </r>
  </si>
  <si>
    <r>
      <t xml:space="preserve">토지피복도 </t>
    </r>
    <r>
      <rPr>
        <strike/>
        <sz val="10"/>
        <color rgb="FFFF0000"/>
        <rFont val="휴먼명조"/>
        <charset val="129"/>
      </rPr>
      <t>외부</t>
    </r>
    <r>
      <rPr>
        <sz val="10"/>
        <color rgb="FF000000"/>
        <rFont val="휴먼명조"/>
        <charset val="129"/>
      </rPr>
      <t>연계</t>
    </r>
  </si>
  <si>
    <r>
      <t xml:space="preserve">DEM </t>
    </r>
    <r>
      <rPr>
        <strike/>
        <sz val="10"/>
        <color rgb="FFFF0000"/>
        <rFont val="휴먼명조"/>
        <charset val="129"/>
      </rPr>
      <t>외부</t>
    </r>
    <r>
      <rPr>
        <sz val="10"/>
        <color rgb="FF000000"/>
        <rFont val="휴먼명조"/>
        <charset val="129"/>
      </rPr>
      <t>연계</t>
    </r>
  </si>
  <si>
    <r>
      <t xml:space="preserve">토양도 </t>
    </r>
    <r>
      <rPr>
        <strike/>
        <sz val="10"/>
        <color rgb="FFFF0000"/>
        <rFont val="휴먼명조"/>
        <charset val="129"/>
      </rPr>
      <t>외부</t>
    </r>
    <r>
      <rPr>
        <sz val="10"/>
        <color rgb="FF000000"/>
        <rFont val="휴먼명조"/>
        <charset val="129"/>
      </rPr>
      <t>연계</t>
    </r>
  </si>
  <si>
    <r>
      <t xml:space="preserve">시군구별(읍면동) 피해 원인 조건별 표출 </t>
    </r>
    <r>
      <rPr>
        <strike/>
        <sz val="10"/>
        <color rgb="FFFF0000"/>
        <rFont val="휴먼명조"/>
        <charset val="129"/>
      </rPr>
      <t>분석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</si>
</sst>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2" formatCode="_-&quot;₩&quot;* #,##0_-;\-&quot;₩&quot;* #,##0_-;_-&quot;₩&quot;* &quot;-&quot;_-;_-@_-"/>
  </numFmts>
  <fonts count="19" x14ac:knownFonts="1">
    <font>
      <sz val="11"/>
      <color rgb="FF000000"/>
      <name val="돋움"/>
    </font>
    <font>
      <sz val="11"/>
      <color rgb="FF000000"/>
      <name val="굴림체"/>
      <family val="3"/>
      <charset val="129"/>
    </font>
    <font>
      <sz val="11"/>
      <color rgb="FF000000"/>
      <name val="맑은 고딕"/>
      <family val="3"/>
      <charset val="129"/>
    </font>
    <font>
      <sz val="11"/>
      <color rgb="FF000000"/>
      <name val="휴먼명조"/>
      <family val="3"/>
      <charset val="129"/>
    </font>
    <font>
      <sz val="9"/>
      <color rgb="FF000000"/>
      <name val="휴먼명조"/>
      <charset val="129"/>
    </font>
    <font>
      <sz val="10"/>
      <color rgb="FF000000"/>
      <name val="휴먼명조"/>
      <charset val="129"/>
    </font>
    <font>
      <b/>
      <sz val="9"/>
      <color rgb="FF000000"/>
      <name val="휴먼명조"/>
      <charset val="129"/>
    </font>
    <font>
      <sz val="9"/>
      <color rgb="FFFF0000"/>
      <name val="휴먼명조"/>
      <charset val="129"/>
    </font>
    <font>
      <sz val="10"/>
      <color rgb="FFFF0000"/>
      <name val="휴먼명조"/>
      <charset val="129"/>
    </font>
    <font>
      <i/>
      <sz val="11"/>
      <color rgb="FFFF0000"/>
      <name val="휴먼명조"/>
      <charset val="129"/>
    </font>
    <font>
      <b/>
      <sz val="10"/>
      <color rgb="FF000000"/>
      <name val="휴먼명조"/>
      <charset val="129"/>
    </font>
    <font>
      <sz val="9"/>
      <color rgb="FF000000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b/>
      <sz val="20"/>
      <color rgb="FF000000"/>
      <name val="맑은 고딕"/>
      <family val="3"/>
      <charset val="129"/>
    </font>
    <font>
      <b/>
      <sz val="20"/>
      <color rgb="FF000000"/>
      <name val="휴먼명조"/>
      <charset val="129"/>
    </font>
    <font>
      <strike/>
      <sz val="10"/>
      <color rgb="FFFF0000"/>
      <name val="휴먼명조"/>
      <charset val="129"/>
    </font>
    <font>
      <strike/>
      <sz val="10"/>
      <color rgb="FF000000"/>
      <name val="휴먼명조"/>
      <charset val="129"/>
    </font>
    <font>
      <sz val="11"/>
      <color rgb="FF000000"/>
      <name val="돋움"/>
      <family val="3"/>
      <charset val="129"/>
    </font>
    <font>
      <sz val="8"/>
      <name val="돋움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6DAF1"/>
        <bgColor indexed="64"/>
      </patternFill>
    </fill>
    <fill>
      <patternFill patternType="solid">
        <fgColor rgb="FFFDEADB"/>
        <bgColor indexed="64"/>
      </patternFill>
    </fill>
    <fill>
      <patternFill patternType="solid">
        <fgColor rgb="FF969696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1">
    <xf numFmtId="0" fontId="0" fillId="0" borderId="0">
      <alignment vertical="center"/>
    </xf>
    <xf numFmtId="42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" fillId="0" borderId="0">
      <alignment vertical="center"/>
    </xf>
    <xf numFmtId="0" fontId="17" fillId="0" borderId="0"/>
    <xf numFmtId="0" fontId="17" fillId="0" borderId="0">
      <alignment vertical="center"/>
    </xf>
    <xf numFmtId="0" fontId="1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</cellStyleXfs>
  <cellXfs count="210">
    <xf numFmtId="0" fontId="0" fillId="0" borderId="0" xfId="0" applyAlignment="1"/>
    <xf numFmtId="0" fontId="3" fillId="0" borderId="0" xfId="5" applyFont="1" applyAlignment="1">
      <alignment vertical="center" wrapText="1"/>
    </xf>
    <xf numFmtId="0" fontId="3" fillId="0" borderId="0" xfId="5" applyFont="1" applyAlignment="1">
      <alignment horizontal="center" vertical="center"/>
    </xf>
    <xf numFmtId="0" fontId="3" fillId="0" borderId="0" xfId="5" applyFont="1">
      <alignment vertical="center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quotePrefix="1" applyFont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6" fillId="2" borderId="2" xfId="4" applyFont="1" applyFill="1" applyBorder="1" applyAlignment="1">
      <alignment horizontal="center" vertical="center" wrapText="1"/>
    </xf>
    <xf numFmtId="0" fontId="6" fillId="2" borderId="3" xfId="4" applyFont="1" applyFill="1" applyBorder="1" applyAlignment="1">
      <alignment horizontal="center" vertical="center" wrapText="1"/>
    </xf>
    <xf numFmtId="0" fontId="6" fillId="2" borderId="4" xfId="4" applyFont="1" applyFill="1" applyBorder="1" applyAlignment="1">
      <alignment horizontal="center" vertical="center" wrapText="1"/>
    </xf>
    <xf numFmtId="0" fontId="4" fillId="0" borderId="5" xfId="4" applyFont="1" applyBorder="1" applyAlignment="1">
      <alignment vertical="center" wrapText="1"/>
    </xf>
    <xf numFmtId="0" fontId="6" fillId="3" borderId="6" xfId="4" applyFont="1" applyFill="1" applyBorder="1" applyAlignment="1">
      <alignment horizontal="center" vertical="center" wrapText="1"/>
    </xf>
    <xf numFmtId="0" fontId="6" fillId="3" borderId="7" xfId="4" applyFont="1" applyFill="1" applyBorder="1" applyAlignment="1">
      <alignment horizontal="center" vertical="center"/>
    </xf>
    <xf numFmtId="42" fontId="4" fillId="4" borderId="1" xfId="1" applyFont="1" applyFill="1" applyBorder="1" applyAlignment="1">
      <alignment horizontal="center" vertical="center" wrapText="1"/>
    </xf>
    <xf numFmtId="42" fontId="4" fillId="0" borderId="1" xfId="1" applyFont="1" applyBorder="1" applyAlignment="1">
      <alignment horizontal="center" vertical="center"/>
    </xf>
    <xf numFmtId="42" fontId="3" fillId="0" borderId="0" xfId="1" applyFont="1">
      <alignment vertical="center"/>
    </xf>
    <xf numFmtId="42" fontId="4" fillId="0" borderId="1" xfId="1" applyFont="1" applyBorder="1" applyAlignment="1">
      <alignment horizontal="center" vertical="center" wrapText="1"/>
    </xf>
    <xf numFmtId="42" fontId="4" fillId="0" borderId="1" xfId="1" quotePrefix="1" applyFont="1" applyBorder="1" applyAlignment="1">
      <alignment horizontal="center" vertical="center" wrapText="1"/>
    </xf>
    <xf numFmtId="42" fontId="4" fillId="0" borderId="1" xfId="1" applyFont="1" applyBorder="1" applyAlignment="1">
      <alignment vertical="center" wrapText="1"/>
    </xf>
    <xf numFmtId="42" fontId="5" fillId="0" borderId="1" xfId="1" applyFont="1" applyBorder="1" applyAlignment="1">
      <alignment vertical="center" wrapText="1"/>
    </xf>
    <xf numFmtId="42" fontId="5" fillId="0" borderId="1" xfId="1" applyFont="1" applyBorder="1" applyAlignment="1">
      <alignment horizontal="left" vertical="center" wrapText="1"/>
    </xf>
    <xf numFmtId="14" fontId="4" fillId="0" borderId="1" xfId="0" quotePrefix="1" applyNumberFormat="1" applyFont="1" applyBorder="1" applyAlignment="1">
      <alignment horizontal="center" vertical="center" wrapText="1"/>
    </xf>
    <xf numFmtId="0" fontId="4" fillId="5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3" fillId="0" borderId="0" xfId="5" applyFont="1" applyAlignment="1">
      <alignment horizontal="center" vertical="center" wrapText="1"/>
    </xf>
    <xf numFmtId="0" fontId="4" fillId="5" borderId="1" xfId="0" quotePrefix="1" applyFont="1" applyFill="1" applyBorder="1" applyAlignment="1">
      <alignment horizontal="center" vertical="center" wrapText="1"/>
    </xf>
    <xf numFmtId="14" fontId="4" fillId="5" borderId="1" xfId="0" applyNumberFormat="1" applyFont="1" applyFill="1" applyBorder="1" applyAlignment="1">
      <alignment horizontal="center" vertical="center" wrapText="1"/>
    </xf>
    <xf numFmtId="0" fontId="6" fillId="2" borderId="8" xfId="6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6" fillId="2" borderId="9" xfId="4" applyFont="1" applyFill="1" applyBorder="1" applyAlignment="1">
      <alignment horizontal="center" vertical="center" wrapText="1"/>
    </xf>
    <xf numFmtId="0" fontId="4" fillId="0" borderId="9" xfId="4" applyFont="1" applyBorder="1" applyAlignment="1">
      <alignment vertical="center" wrapText="1"/>
    </xf>
    <xf numFmtId="0" fontId="6" fillId="3" borderId="9" xfId="4" applyFont="1" applyFill="1" applyBorder="1" applyAlignment="1">
      <alignment horizontal="center" vertical="center" wrapText="1"/>
    </xf>
    <xf numFmtId="0" fontId="5" fillId="5" borderId="10" xfId="0" applyFont="1" applyFill="1" applyBorder="1" applyAlignment="1">
      <alignment vertical="center" wrapText="1"/>
    </xf>
    <xf numFmtId="0" fontId="4" fillId="0" borderId="11" xfId="4" applyFont="1" applyBorder="1" applyAlignment="1">
      <alignment horizontal="center" vertical="center"/>
    </xf>
    <xf numFmtId="0" fontId="6" fillId="3" borderId="12" xfId="4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 wrapText="1"/>
    </xf>
    <xf numFmtId="0" fontId="4" fillId="0" borderId="13" xfId="4" applyFont="1" applyBorder="1" applyAlignment="1">
      <alignment horizontal="center" vertical="center" wrapText="1"/>
    </xf>
    <xf numFmtId="0" fontId="8" fillId="7" borderId="1" xfId="0" applyFont="1" applyFill="1" applyBorder="1" applyAlignment="1">
      <alignment horizontal="left" vertical="center" wrapText="1"/>
    </xf>
    <xf numFmtId="0" fontId="6" fillId="5" borderId="4" xfId="4" applyFont="1" applyFill="1" applyBorder="1" applyAlignment="1">
      <alignment horizontal="center" vertical="center" wrapText="1"/>
    </xf>
    <xf numFmtId="0" fontId="0" fillId="0" borderId="0" xfId="0">
      <alignment vertical="center"/>
    </xf>
    <xf numFmtId="0" fontId="9" fillId="0" borderId="0" xfId="5" applyFont="1">
      <alignment vertical="center"/>
    </xf>
    <xf numFmtId="14" fontId="3" fillId="0" borderId="0" xfId="5" applyNumberFormat="1" applyFont="1">
      <alignment vertical="center"/>
    </xf>
    <xf numFmtId="0" fontId="5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49" fontId="10" fillId="2" borderId="1" xfId="0" applyNumberFormat="1" applyFont="1" applyFill="1" applyBorder="1" applyAlignment="1">
      <alignment horizontal="center" vertical="center" wrapText="1"/>
    </xf>
    <xf numFmtId="49" fontId="5" fillId="5" borderId="1" xfId="0" applyNumberFormat="1" applyFont="1" applyFill="1" applyBorder="1" applyAlignment="1">
      <alignment horizontal="center" vertical="center" wrapText="1"/>
    </xf>
    <xf numFmtId="0" fontId="4" fillId="0" borderId="13" xfId="4" applyFont="1" applyBorder="1" applyAlignment="1">
      <alignment horizontal="center" vertical="center"/>
    </xf>
    <xf numFmtId="0" fontId="6" fillId="2" borderId="14" xfId="4" applyFont="1" applyFill="1" applyBorder="1" applyAlignment="1">
      <alignment horizontal="center" vertical="center" wrapText="1"/>
    </xf>
    <xf numFmtId="0" fontId="6" fillId="2" borderId="15" xfId="6" applyFont="1" applyFill="1" applyBorder="1" applyAlignment="1">
      <alignment horizontal="center" vertical="center"/>
    </xf>
    <xf numFmtId="0" fontId="6" fillId="2" borderId="10" xfId="2" applyFont="1" applyFill="1" applyBorder="1" applyAlignment="1">
      <alignment horizontal="center" vertical="center" wrapText="1"/>
    </xf>
    <xf numFmtId="0" fontId="6" fillId="2" borderId="10" xfId="3" applyFont="1" applyFill="1" applyBorder="1" applyAlignment="1">
      <alignment horizontal="center" vertical="center" wrapText="1"/>
    </xf>
    <xf numFmtId="0" fontId="6" fillId="2" borderId="10" xfId="4" applyFont="1" applyFill="1" applyBorder="1" applyAlignment="1">
      <alignment horizontal="center" vertical="center"/>
    </xf>
    <xf numFmtId="0" fontId="6" fillId="2" borderId="10" xfId="4" applyFont="1" applyFill="1" applyBorder="1" applyAlignment="1">
      <alignment horizontal="center" vertical="center" wrapText="1"/>
    </xf>
    <xf numFmtId="0" fontId="4" fillId="0" borderId="14" xfId="4" applyFont="1" applyBorder="1" applyAlignment="1">
      <alignment horizontal="left" vertical="center" wrapText="1"/>
    </xf>
    <xf numFmtId="0" fontId="5" fillId="0" borderId="0" xfId="8" applyFont="1">
      <alignment vertical="center"/>
    </xf>
    <xf numFmtId="0" fontId="10" fillId="8" borderId="1" xfId="8" applyFont="1" applyFill="1" applyBorder="1" applyAlignment="1">
      <alignment horizontal="center" vertical="center" wrapText="1"/>
    </xf>
    <xf numFmtId="0" fontId="10" fillId="8" borderId="1" xfId="8" applyFont="1" applyFill="1" applyBorder="1" applyAlignment="1">
      <alignment horizontal="left" vertical="center" wrapText="1"/>
    </xf>
    <xf numFmtId="0" fontId="5" fillId="5" borderId="1" xfId="8" applyFont="1" applyFill="1" applyBorder="1" applyAlignment="1">
      <alignment vertical="top"/>
    </xf>
    <xf numFmtId="0" fontId="5" fillId="0" borderId="1" xfId="8" applyFont="1" applyBorder="1" applyAlignment="1">
      <alignment vertical="top" wrapText="1"/>
    </xf>
    <xf numFmtId="0" fontId="5" fillId="0" borderId="1" xfId="8" applyFont="1" applyBorder="1" applyAlignment="1">
      <alignment vertical="center" wrapText="1"/>
    </xf>
    <xf numFmtId="0" fontId="5" fillId="0" borderId="1" xfId="8" quotePrefix="1" applyFont="1" applyBorder="1" applyAlignment="1">
      <alignment vertical="center" wrapText="1"/>
    </xf>
    <xf numFmtId="0" fontId="5" fillId="0" borderId="1" xfId="8" applyFont="1" applyBorder="1">
      <alignment vertical="center"/>
    </xf>
    <xf numFmtId="0" fontId="5" fillId="5" borderId="1" xfId="8" applyFont="1" applyFill="1" applyBorder="1" applyAlignment="1">
      <alignment horizontal="left" vertical="top"/>
    </xf>
    <xf numFmtId="0" fontId="5" fillId="0" borderId="1" xfId="8" applyFont="1" applyBorder="1" applyAlignment="1">
      <alignment horizontal="center" vertical="center" wrapText="1"/>
    </xf>
    <xf numFmtId="0" fontId="5" fillId="5" borderId="1" xfId="8" applyFont="1" applyFill="1" applyBorder="1" applyAlignment="1">
      <alignment horizontal="left" vertical="top" wrapText="1"/>
    </xf>
    <xf numFmtId="0" fontId="5" fillId="0" borderId="16" xfId="8" applyFont="1" applyBorder="1" applyAlignment="1">
      <alignment vertical="center" wrapText="1"/>
    </xf>
    <xf numFmtId="0" fontId="5" fillId="0" borderId="0" xfId="8" applyFont="1" applyAlignment="1">
      <alignment horizontal="center" vertical="center" wrapText="1"/>
    </xf>
    <xf numFmtId="0" fontId="5" fillId="0" borderId="4" xfId="8" applyFont="1" applyBorder="1" applyAlignment="1">
      <alignment horizontal="center" vertical="center" wrapText="1"/>
    </xf>
    <xf numFmtId="0" fontId="5" fillId="5" borderId="0" xfId="8" applyFont="1" applyFill="1" applyAlignment="1">
      <alignment horizontal="center" vertical="center" wrapText="1"/>
    </xf>
    <xf numFmtId="0" fontId="5" fillId="0" borderId="1" xfId="8" applyFont="1" applyBorder="1" applyAlignment="1">
      <alignment horizontal="center" vertical="center"/>
    </xf>
    <xf numFmtId="0" fontId="5" fillId="0" borderId="9" xfId="8" applyFont="1" applyBorder="1" applyAlignment="1">
      <alignment vertical="top" wrapText="1"/>
    </xf>
    <xf numFmtId="0" fontId="8" fillId="5" borderId="1" xfId="8" applyFont="1" applyFill="1" applyBorder="1" applyAlignment="1">
      <alignment vertical="top"/>
    </xf>
    <xf numFmtId="0" fontId="8" fillId="0" borderId="1" xfId="8" applyFont="1" applyBorder="1" applyAlignment="1">
      <alignment vertical="top" wrapText="1"/>
    </xf>
    <xf numFmtId="0" fontId="5" fillId="0" borderId="8" xfId="8" applyFont="1" applyBorder="1" applyAlignment="1">
      <alignment vertical="top" wrapText="1"/>
    </xf>
    <xf numFmtId="49" fontId="5" fillId="5" borderId="0" xfId="8" applyNumberFormat="1" applyFont="1" applyFill="1" applyAlignment="1"/>
    <xf numFmtId="0" fontId="11" fillId="0" borderId="1" xfId="0" applyFont="1" applyBorder="1" applyAlignment="1">
      <alignment vertical="center" wrapText="1"/>
    </xf>
    <xf numFmtId="0" fontId="11" fillId="0" borderId="0" xfId="5" applyFont="1" applyAlignment="1">
      <alignment vertical="center" wrapText="1"/>
    </xf>
    <xf numFmtId="0" fontId="11" fillId="0" borderId="1" xfId="4" applyFont="1" applyBorder="1" applyAlignment="1">
      <alignment horizontal="left" vertical="center" wrapText="1"/>
    </xf>
    <xf numFmtId="0" fontId="11" fillId="0" borderId="0" xfId="5" applyFont="1">
      <alignment vertical="center"/>
    </xf>
    <xf numFmtId="0" fontId="11" fillId="0" borderId="1" xfId="0" applyFont="1" applyBorder="1" applyAlignment="1">
      <alignment horizontal="left" vertical="center" wrapText="1"/>
    </xf>
    <xf numFmtId="0" fontId="12" fillId="2" borderId="1" xfId="3" applyFont="1" applyFill="1" applyBorder="1" applyAlignment="1">
      <alignment horizontal="center" vertical="center" wrapText="1"/>
    </xf>
    <xf numFmtId="0" fontId="2" fillId="0" borderId="0" xfId="5" applyFont="1" applyAlignment="1">
      <alignment vertical="center" wrapText="1"/>
    </xf>
    <xf numFmtId="0" fontId="12" fillId="2" borderId="1" xfId="4" applyFont="1" applyFill="1" applyBorder="1" applyAlignment="1">
      <alignment horizontal="center" vertical="center" wrapText="1"/>
    </xf>
    <xf numFmtId="0" fontId="11" fillId="0" borderId="0" xfId="5" applyFont="1" applyAlignment="1">
      <alignment horizontal="center" vertical="center" wrapText="1"/>
    </xf>
    <xf numFmtId="0" fontId="11" fillId="0" borderId="0" xfId="5" applyFont="1" applyAlignment="1">
      <alignment horizontal="left" vertical="center" wrapText="1"/>
    </xf>
    <xf numFmtId="0" fontId="12" fillId="3" borderId="1" xfId="4" applyFont="1" applyFill="1" applyBorder="1" applyAlignment="1">
      <alignment horizontal="center" vertical="center"/>
    </xf>
    <xf numFmtId="0" fontId="12" fillId="3" borderId="1" xfId="4" applyFont="1" applyFill="1" applyBorder="1" applyAlignment="1">
      <alignment horizontal="center" vertical="center" wrapText="1"/>
    </xf>
    <xf numFmtId="0" fontId="11" fillId="0" borderId="1" xfId="0" quotePrefix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2" fillId="0" borderId="1" xfId="5" applyFont="1" applyBorder="1" applyAlignment="1">
      <alignment vertical="center" wrapText="1"/>
    </xf>
    <xf numFmtId="0" fontId="11" fillId="0" borderId="1" xfId="6" applyFont="1" applyBorder="1" applyAlignment="1">
      <alignment horizontal="center" vertical="center" wrapText="1"/>
    </xf>
    <xf numFmtId="14" fontId="11" fillId="0" borderId="1" xfId="5" applyNumberFormat="1" applyFont="1" applyBorder="1" applyAlignment="1">
      <alignment horizontal="center" vertical="center" wrapText="1"/>
    </xf>
    <xf numFmtId="0" fontId="11" fillId="0" borderId="1" xfId="4" applyFont="1" applyBorder="1" applyAlignment="1">
      <alignment horizontal="center" vertical="center" wrapText="1"/>
    </xf>
    <xf numFmtId="0" fontId="11" fillId="0" borderId="1" xfId="6" applyFont="1" applyBorder="1" applyAlignment="1">
      <alignment horizontal="center" vertical="center" wrapText="1"/>
    </xf>
    <xf numFmtId="0" fontId="12" fillId="5" borderId="14" xfId="4" applyFont="1" applyFill="1" applyBorder="1" applyAlignment="1">
      <alignment horizontal="left" vertical="center" wrapText="1"/>
    </xf>
    <xf numFmtId="0" fontId="12" fillId="5" borderId="17" xfId="4" applyFont="1" applyFill="1" applyBorder="1" applyAlignment="1">
      <alignment horizontal="left" vertical="center" wrapText="1"/>
    </xf>
    <xf numFmtId="0" fontId="12" fillId="5" borderId="16" xfId="4" applyFont="1" applyFill="1" applyBorder="1" applyAlignment="1">
      <alignment horizontal="left" vertical="center" wrapText="1"/>
    </xf>
    <xf numFmtId="0" fontId="11" fillId="5" borderId="1" xfId="4" applyFont="1" applyFill="1" applyBorder="1" applyAlignment="1">
      <alignment horizontal="center" vertical="center" wrapText="1"/>
    </xf>
    <xf numFmtId="0" fontId="12" fillId="3" borderId="3" xfId="4" applyFont="1" applyFill="1" applyBorder="1" applyAlignment="1">
      <alignment horizontal="center" vertical="center"/>
    </xf>
    <xf numFmtId="0" fontId="12" fillId="3" borderId="8" xfId="4" applyFont="1" applyFill="1" applyBorder="1" applyAlignment="1">
      <alignment horizontal="center" vertical="center"/>
    </xf>
    <xf numFmtId="0" fontId="12" fillId="3" borderId="18" xfId="4" applyFont="1" applyFill="1" applyBorder="1" applyAlignment="1">
      <alignment horizontal="center" vertical="center"/>
    </xf>
    <xf numFmtId="0" fontId="12" fillId="3" borderId="20" xfId="4" applyFont="1" applyFill="1" applyBorder="1" applyAlignment="1">
      <alignment horizontal="center" vertical="center"/>
    </xf>
    <xf numFmtId="0" fontId="12" fillId="3" borderId="14" xfId="4" applyFont="1" applyFill="1" applyBorder="1" applyAlignment="1">
      <alignment horizontal="center" vertical="center"/>
    </xf>
    <xf numFmtId="0" fontId="12" fillId="3" borderId="16" xfId="4" applyFont="1" applyFill="1" applyBorder="1" applyAlignment="1">
      <alignment horizontal="center" vertical="center"/>
    </xf>
    <xf numFmtId="0" fontId="12" fillId="2" borderId="10" xfId="4" applyFont="1" applyFill="1" applyBorder="1" applyAlignment="1">
      <alignment horizontal="center" vertical="center"/>
    </xf>
    <xf numFmtId="0" fontId="12" fillId="2" borderId="4" xfId="4" applyFont="1" applyFill="1" applyBorder="1" applyAlignment="1">
      <alignment horizontal="center" vertical="center"/>
    </xf>
    <xf numFmtId="0" fontId="12" fillId="3" borderId="10" xfId="4" applyFont="1" applyFill="1" applyBorder="1" applyAlignment="1">
      <alignment horizontal="center" vertical="center" wrapText="1"/>
    </xf>
    <xf numFmtId="0" fontId="12" fillId="3" borderId="4" xfId="4" applyFont="1" applyFill="1" applyBorder="1" applyAlignment="1">
      <alignment horizontal="center" vertical="center" wrapText="1"/>
    </xf>
    <xf numFmtId="0" fontId="12" fillId="3" borderId="10" xfId="4" applyFont="1" applyFill="1" applyBorder="1" applyAlignment="1">
      <alignment horizontal="center" vertical="center"/>
    </xf>
    <xf numFmtId="0" fontId="12" fillId="3" borderId="4" xfId="4" applyFont="1" applyFill="1" applyBorder="1" applyAlignment="1">
      <alignment horizontal="center" vertical="center"/>
    </xf>
    <xf numFmtId="0" fontId="12" fillId="3" borderId="1" xfId="4" applyFont="1" applyFill="1" applyBorder="1" applyAlignment="1">
      <alignment horizontal="center" vertical="center"/>
    </xf>
    <xf numFmtId="0" fontId="13" fillId="0" borderId="11" xfId="5" applyFont="1" applyBorder="1" applyAlignment="1">
      <alignment horizontal="center" vertical="center"/>
    </xf>
    <xf numFmtId="0" fontId="13" fillId="0" borderId="0" xfId="5" applyFont="1" applyAlignment="1">
      <alignment horizontal="center" vertical="center"/>
    </xf>
    <xf numFmtId="0" fontId="11" fillId="5" borderId="1" xfId="4" applyFont="1" applyFill="1" applyBorder="1" applyAlignment="1">
      <alignment horizontal="left" vertical="center" wrapText="1"/>
    </xf>
    <xf numFmtId="0" fontId="11" fillId="5" borderId="14" xfId="4" applyFont="1" applyFill="1" applyBorder="1" applyAlignment="1">
      <alignment horizontal="left" vertical="center" wrapText="1"/>
    </xf>
    <xf numFmtId="0" fontId="11" fillId="5" borderId="16" xfId="4" applyFont="1" applyFill="1" applyBorder="1" applyAlignment="1">
      <alignment horizontal="left" vertical="center" wrapText="1"/>
    </xf>
    <xf numFmtId="0" fontId="12" fillId="5" borderId="14" xfId="4" applyFont="1" applyFill="1" applyBorder="1" applyAlignment="1">
      <alignment horizontal="center" vertical="center" wrapText="1"/>
    </xf>
    <xf numFmtId="0" fontId="12" fillId="5" borderId="17" xfId="4" applyFont="1" applyFill="1" applyBorder="1" applyAlignment="1">
      <alignment horizontal="center" vertical="center" wrapText="1"/>
    </xf>
    <xf numFmtId="0" fontId="12" fillId="5" borderId="16" xfId="4" applyFont="1" applyFill="1" applyBorder="1" applyAlignment="1">
      <alignment horizontal="center" vertical="center" wrapText="1"/>
    </xf>
    <xf numFmtId="0" fontId="4" fillId="0" borderId="13" xfId="4" applyFont="1" applyBorder="1" applyAlignment="1">
      <alignment horizontal="center" vertical="center"/>
    </xf>
    <xf numFmtId="0" fontId="4" fillId="0" borderId="22" xfId="4" applyFont="1" applyBorder="1" applyAlignment="1">
      <alignment horizontal="center" vertical="center"/>
    </xf>
    <xf numFmtId="0" fontId="4" fillId="0" borderId="14" xfId="4" applyFont="1" applyBorder="1" applyAlignment="1">
      <alignment horizontal="left" vertical="center" wrapText="1"/>
    </xf>
    <xf numFmtId="0" fontId="4" fillId="0" borderId="17" xfId="4" applyFont="1" applyBorder="1" applyAlignment="1">
      <alignment horizontal="left" vertical="center" wrapText="1"/>
    </xf>
    <xf numFmtId="0" fontId="4" fillId="0" borderId="16" xfId="4" applyFont="1" applyBorder="1" applyAlignment="1">
      <alignment horizontal="left" vertical="center" wrapText="1"/>
    </xf>
    <xf numFmtId="0" fontId="6" fillId="2" borderId="15" xfId="6" applyFont="1" applyFill="1" applyBorder="1" applyAlignment="1">
      <alignment horizontal="center" vertical="center"/>
    </xf>
    <xf numFmtId="0" fontId="6" fillId="2" borderId="23" xfId="6" applyFont="1" applyFill="1" applyBorder="1" applyAlignment="1">
      <alignment horizontal="center" vertical="center"/>
    </xf>
    <xf numFmtId="0" fontId="6" fillId="2" borderId="10" xfId="2" applyFont="1" applyFill="1" applyBorder="1" applyAlignment="1">
      <alignment horizontal="center" vertical="center" wrapText="1"/>
    </xf>
    <xf numFmtId="0" fontId="6" fillId="2" borderId="4" xfId="2" applyFont="1" applyFill="1" applyBorder="1" applyAlignment="1">
      <alignment horizontal="center" vertical="center" wrapText="1"/>
    </xf>
    <xf numFmtId="0" fontId="6" fillId="2" borderId="10" xfId="3" applyFont="1" applyFill="1" applyBorder="1" applyAlignment="1">
      <alignment horizontal="center" vertical="center" wrapText="1"/>
    </xf>
    <xf numFmtId="0" fontId="6" fillId="2" borderId="4" xfId="3" applyFont="1" applyFill="1" applyBorder="1" applyAlignment="1">
      <alignment horizontal="center" vertical="center" wrapText="1"/>
    </xf>
    <xf numFmtId="0" fontId="6" fillId="2" borderId="10" xfId="4" applyFont="1" applyFill="1" applyBorder="1" applyAlignment="1">
      <alignment horizontal="center" vertical="center"/>
    </xf>
    <xf numFmtId="0" fontId="6" fillId="2" borderId="4" xfId="4" applyFont="1" applyFill="1" applyBorder="1" applyAlignment="1">
      <alignment horizontal="center" vertical="center"/>
    </xf>
    <xf numFmtId="0" fontId="6" fillId="2" borderId="10" xfId="4" applyFont="1" applyFill="1" applyBorder="1" applyAlignment="1">
      <alignment horizontal="center" vertical="center" wrapText="1"/>
    </xf>
    <xf numFmtId="0" fontId="6" fillId="2" borderId="4" xfId="4" applyFont="1" applyFill="1" applyBorder="1" applyAlignment="1">
      <alignment horizontal="center" vertical="center" wrapText="1"/>
    </xf>
    <xf numFmtId="0" fontId="6" fillId="2" borderId="14" xfId="4" applyFont="1" applyFill="1" applyBorder="1" applyAlignment="1">
      <alignment horizontal="center" vertical="center" wrapText="1"/>
    </xf>
    <xf numFmtId="0" fontId="6" fillId="2" borderId="17" xfId="4" applyFont="1" applyFill="1" applyBorder="1" applyAlignment="1">
      <alignment horizontal="center" vertical="center" wrapText="1"/>
    </xf>
    <xf numFmtId="0" fontId="6" fillId="2" borderId="16" xfId="4" applyFont="1" applyFill="1" applyBorder="1" applyAlignment="1">
      <alignment horizontal="center" vertical="center" wrapText="1"/>
    </xf>
    <xf numFmtId="0" fontId="6" fillId="2" borderId="24" xfId="4" applyFont="1" applyFill="1" applyBorder="1" applyAlignment="1">
      <alignment horizontal="center" vertical="center" wrapText="1"/>
    </xf>
    <xf numFmtId="0" fontId="14" fillId="5" borderId="0" xfId="0" applyFont="1" applyFill="1" applyAlignment="1">
      <alignment horizontal="center" vertical="center" wrapText="1"/>
    </xf>
    <xf numFmtId="49" fontId="10" fillId="5" borderId="1" xfId="0" applyNumberFormat="1" applyFont="1" applyFill="1" applyBorder="1" applyAlignment="1">
      <alignment horizontal="center" vertical="center" wrapText="1"/>
    </xf>
    <xf numFmtId="49" fontId="10" fillId="5" borderId="1" xfId="0" applyNumberFormat="1" applyFont="1" applyFill="1" applyBorder="1" applyAlignment="1">
      <alignment horizontal="left" vertical="center" wrapText="1"/>
    </xf>
    <xf numFmtId="49" fontId="5" fillId="5" borderId="14" xfId="0" applyNumberFormat="1" applyFont="1" applyFill="1" applyBorder="1" applyAlignment="1">
      <alignment horizontal="center" vertical="center" wrapText="1"/>
    </xf>
    <xf numFmtId="49" fontId="5" fillId="5" borderId="16" xfId="0" applyNumberFormat="1" applyFont="1" applyFill="1" applyBorder="1" applyAlignment="1">
      <alignment horizontal="center" vertical="center" wrapText="1"/>
    </xf>
    <xf numFmtId="49" fontId="5" fillId="5" borderId="1" xfId="0" applyNumberFormat="1" applyFont="1" applyFill="1" applyBorder="1" applyAlignment="1">
      <alignment horizontal="left" vertical="center" wrapText="1"/>
    </xf>
    <xf numFmtId="0" fontId="4" fillId="0" borderId="18" xfId="4" applyFont="1" applyBorder="1" applyAlignment="1">
      <alignment horizontal="left" vertical="center" wrapText="1"/>
    </xf>
    <xf numFmtId="0" fontId="4" fillId="0" borderId="19" xfId="4" applyFont="1" applyBorder="1" applyAlignment="1">
      <alignment horizontal="left" vertical="center" wrapText="1"/>
    </xf>
    <xf numFmtId="0" fontId="8" fillId="0" borderId="10" xfId="8" applyFont="1" applyBorder="1" applyAlignment="1">
      <alignment vertical="top" wrapText="1"/>
    </xf>
    <xf numFmtId="0" fontId="8" fillId="0" borderId="9" xfId="8" applyFont="1" applyBorder="1" applyAlignment="1">
      <alignment vertical="top" wrapText="1"/>
    </xf>
    <xf numFmtId="0" fontId="8" fillId="0" borderId="4" xfId="8" applyFont="1" applyBorder="1" applyAlignment="1">
      <alignment vertical="top" wrapText="1"/>
    </xf>
    <xf numFmtId="0" fontId="8" fillId="0" borderId="1" xfId="8" applyFont="1" applyBorder="1" applyAlignment="1">
      <alignment vertical="top" wrapText="1"/>
    </xf>
    <xf numFmtId="0" fontId="8" fillId="0" borderId="1" xfId="8" applyFont="1" applyBorder="1" applyAlignment="1">
      <alignment horizontal="left" vertical="top" wrapText="1"/>
    </xf>
    <xf numFmtId="0" fontId="8" fillId="5" borderId="10" xfId="8" applyFont="1" applyFill="1" applyBorder="1" applyAlignment="1">
      <alignment horizontal="left" vertical="top" wrapText="1"/>
    </xf>
    <xf numFmtId="0" fontId="8" fillId="5" borderId="9" xfId="8" applyFont="1" applyFill="1" applyBorder="1" applyAlignment="1">
      <alignment horizontal="left" vertical="top" wrapText="1"/>
    </xf>
    <xf numFmtId="0" fontId="8" fillId="5" borderId="4" xfId="8" applyFont="1" applyFill="1" applyBorder="1" applyAlignment="1">
      <alignment horizontal="left" vertical="top" wrapText="1"/>
    </xf>
    <xf numFmtId="49" fontId="8" fillId="5" borderId="1" xfId="8" applyNumberFormat="1" applyFont="1" applyFill="1" applyBorder="1" applyAlignment="1">
      <alignment horizontal="left" vertical="top" wrapText="1"/>
    </xf>
    <xf numFmtId="0" fontId="5" fillId="0" borderId="10" xfId="8" applyFont="1" applyBorder="1" applyAlignment="1">
      <alignment vertical="top" wrapText="1"/>
    </xf>
    <xf numFmtId="0" fontId="5" fillId="0" borderId="9" xfId="8" applyFont="1" applyBorder="1" applyAlignment="1">
      <alignment vertical="top" wrapText="1"/>
    </xf>
    <xf numFmtId="0" fontId="5" fillId="0" borderId="4" xfId="8" applyFont="1" applyBorder="1" applyAlignment="1">
      <alignment vertical="top" wrapText="1"/>
    </xf>
    <xf numFmtId="0" fontId="5" fillId="0" borderId="10" xfId="8" applyFont="1" applyBorder="1" applyAlignment="1">
      <alignment horizontal="left" vertical="top" wrapText="1"/>
    </xf>
    <xf numFmtId="0" fontId="5" fillId="0" borderId="9" xfId="8" applyFont="1" applyBorder="1" applyAlignment="1">
      <alignment horizontal="left" vertical="top" wrapText="1"/>
    </xf>
    <xf numFmtId="0" fontId="5" fillId="0" borderId="4" xfId="8" applyFont="1" applyBorder="1" applyAlignment="1">
      <alignment horizontal="left" vertical="top" wrapText="1"/>
    </xf>
    <xf numFmtId="0" fontId="5" fillId="0" borderId="1" xfId="8" applyFont="1" applyBorder="1" applyAlignment="1">
      <alignment vertical="top" wrapText="1"/>
    </xf>
    <xf numFmtId="0" fontId="5" fillId="0" borderId="3" xfId="8" applyFont="1" applyBorder="1" applyAlignment="1">
      <alignment horizontal="left" vertical="top" wrapText="1"/>
    </xf>
    <xf numFmtId="0" fontId="5" fillId="0" borderId="25" xfId="8" applyFont="1" applyBorder="1" applyAlignment="1">
      <alignment horizontal="left" vertical="top" wrapText="1"/>
    </xf>
    <xf numFmtId="0" fontId="5" fillId="0" borderId="8" xfId="8" applyFont="1" applyBorder="1" applyAlignment="1">
      <alignment horizontal="left" vertical="top" wrapText="1"/>
    </xf>
    <xf numFmtId="0" fontId="5" fillId="0" borderId="18" xfId="8" applyFont="1" applyBorder="1" applyAlignment="1">
      <alignment horizontal="left" vertical="top" wrapText="1"/>
    </xf>
    <xf numFmtId="0" fontId="5" fillId="0" borderId="19" xfId="8" applyFont="1" applyBorder="1" applyAlignment="1">
      <alignment horizontal="left" vertical="top" wrapText="1"/>
    </xf>
    <xf numFmtId="0" fontId="5" fillId="0" borderId="20" xfId="8" applyFont="1" applyBorder="1" applyAlignment="1">
      <alignment horizontal="left" vertical="top" wrapText="1"/>
    </xf>
    <xf numFmtId="0" fontId="5" fillId="0" borderId="14" xfId="8" applyFont="1" applyBorder="1" applyAlignment="1">
      <alignment horizontal="left" vertical="center" wrapText="1"/>
    </xf>
    <xf numFmtId="0" fontId="5" fillId="0" borderId="17" xfId="8" applyFont="1" applyBorder="1" applyAlignment="1">
      <alignment horizontal="left" vertical="center" wrapText="1"/>
    </xf>
    <xf numFmtId="0" fontId="5" fillId="0" borderId="16" xfId="8" applyFont="1" applyBorder="1" applyAlignment="1">
      <alignment horizontal="left" vertical="center" wrapText="1"/>
    </xf>
    <xf numFmtId="0" fontId="5" fillId="0" borderId="10" xfId="9" applyFont="1" applyBorder="1" applyAlignment="1">
      <alignment vertical="top" wrapText="1"/>
    </xf>
    <xf numFmtId="0" fontId="5" fillId="0" borderId="9" xfId="9" applyFont="1" applyBorder="1" applyAlignment="1">
      <alignment vertical="top" wrapText="1"/>
    </xf>
    <xf numFmtId="0" fontId="5" fillId="0" borderId="4" xfId="9" applyFont="1" applyBorder="1" applyAlignment="1">
      <alignment vertical="top" wrapText="1"/>
    </xf>
    <xf numFmtId="0" fontId="5" fillId="0" borderId="14" xfId="8" quotePrefix="1" applyFont="1" applyBorder="1" applyAlignment="1">
      <alignment horizontal="left" vertical="center" wrapText="1"/>
    </xf>
    <xf numFmtId="0" fontId="5" fillId="0" borderId="17" xfId="8" quotePrefix="1" applyFont="1" applyBorder="1" applyAlignment="1">
      <alignment horizontal="left" vertical="center" wrapText="1"/>
    </xf>
    <xf numFmtId="0" fontId="5" fillId="0" borderId="16" xfId="8" quotePrefix="1" applyFont="1" applyBorder="1" applyAlignment="1">
      <alignment horizontal="left" vertical="center" wrapText="1"/>
    </xf>
    <xf numFmtId="0" fontId="10" fillId="8" borderId="10" xfId="8" applyFont="1" applyFill="1" applyBorder="1" applyAlignment="1">
      <alignment horizontal="center" vertical="center" wrapText="1"/>
    </xf>
    <xf numFmtId="0" fontId="10" fillId="8" borderId="9" xfId="8" applyFont="1" applyFill="1" applyBorder="1" applyAlignment="1">
      <alignment horizontal="center" vertical="center" wrapText="1"/>
    </xf>
    <xf numFmtId="0" fontId="10" fillId="8" borderId="4" xfId="8" applyFont="1" applyFill="1" applyBorder="1" applyAlignment="1">
      <alignment horizontal="center" vertical="center" wrapText="1"/>
    </xf>
    <xf numFmtId="0" fontId="10" fillId="8" borderId="1" xfId="8" applyFont="1" applyFill="1" applyBorder="1" applyAlignment="1">
      <alignment horizontal="center" vertical="center" wrapText="1"/>
    </xf>
    <xf numFmtId="0" fontId="10" fillId="8" borderId="14" xfId="8" applyFont="1" applyFill="1" applyBorder="1" applyAlignment="1">
      <alignment horizontal="center" vertical="center" wrapText="1"/>
    </xf>
    <xf numFmtId="0" fontId="10" fillId="8" borderId="16" xfId="8" applyFont="1" applyFill="1" applyBorder="1" applyAlignment="1">
      <alignment horizontal="center" vertical="center" wrapText="1"/>
    </xf>
    <xf numFmtId="0" fontId="10" fillId="8" borderId="3" xfId="8" applyFont="1" applyFill="1" applyBorder="1" applyAlignment="1">
      <alignment horizontal="center" vertical="center" wrapText="1"/>
    </xf>
    <xf numFmtId="0" fontId="10" fillId="8" borderId="25" xfId="8" applyFont="1" applyFill="1" applyBorder="1" applyAlignment="1">
      <alignment horizontal="center" vertical="center" wrapText="1"/>
    </xf>
    <xf numFmtId="0" fontId="10" fillId="8" borderId="8" xfId="8" applyFont="1" applyFill="1" applyBorder="1" applyAlignment="1">
      <alignment horizontal="center" vertical="center" wrapText="1"/>
    </xf>
    <xf numFmtId="0" fontId="10" fillId="8" borderId="11" xfId="8" applyFont="1" applyFill="1" applyBorder="1" applyAlignment="1">
      <alignment horizontal="center" vertical="center" wrapText="1"/>
    </xf>
    <xf numFmtId="0" fontId="10" fillId="8" borderId="0" xfId="8" applyFont="1" applyFill="1" applyAlignment="1">
      <alignment horizontal="center" vertical="center" wrapText="1"/>
    </xf>
    <xf numFmtId="0" fontId="10" fillId="8" borderId="21" xfId="8" applyFont="1" applyFill="1" applyBorder="1" applyAlignment="1">
      <alignment horizontal="center" vertical="center" wrapText="1"/>
    </xf>
    <xf numFmtId="0" fontId="10" fillId="8" borderId="18" xfId="8" applyFont="1" applyFill="1" applyBorder="1" applyAlignment="1">
      <alignment horizontal="center" vertical="center" wrapText="1"/>
    </xf>
    <xf numFmtId="0" fontId="10" fillId="8" borderId="19" xfId="8" applyFont="1" applyFill="1" applyBorder="1" applyAlignment="1">
      <alignment horizontal="center" vertical="center" wrapText="1"/>
    </xf>
    <xf numFmtId="0" fontId="10" fillId="8" borderId="20" xfId="8" applyFont="1" applyFill="1" applyBorder="1" applyAlignment="1">
      <alignment horizontal="center" vertical="center" wrapText="1"/>
    </xf>
    <xf numFmtId="0" fontId="10" fillId="8" borderId="17" xfId="8" applyFont="1" applyFill="1" applyBorder="1" applyAlignment="1">
      <alignment horizontal="center" vertical="center" wrapText="1"/>
    </xf>
    <xf numFmtId="0" fontId="10" fillId="2" borderId="1" xfId="8" applyFont="1" applyFill="1" applyBorder="1" applyAlignment="1">
      <alignment horizontal="center" vertical="center" wrapText="1"/>
    </xf>
    <xf numFmtId="0" fontId="10" fillId="5" borderId="1" xfId="8" applyFont="1" applyFill="1" applyBorder="1" applyAlignment="1">
      <alignment horizontal="center" vertical="center" wrapText="1"/>
    </xf>
    <xf numFmtId="14" fontId="10" fillId="5" borderId="1" xfId="8" applyNumberFormat="1" applyFont="1" applyFill="1" applyBorder="1" applyAlignment="1">
      <alignment horizontal="left" vertical="top" wrapText="1"/>
    </xf>
    <xf numFmtId="0" fontId="10" fillId="0" borderId="19" xfId="8" applyFont="1" applyBorder="1" applyAlignment="1">
      <alignment horizontal="left" vertical="center" wrapText="1"/>
    </xf>
    <xf numFmtId="0" fontId="10" fillId="5" borderId="11" xfId="8" applyFont="1" applyFill="1" applyBorder="1" applyAlignment="1">
      <alignment horizontal="center" vertical="center"/>
    </xf>
    <xf numFmtId="0" fontId="10" fillId="5" borderId="0" xfId="8" applyFont="1" applyFill="1" applyAlignment="1">
      <alignment horizontal="center" vertical="center"/>
    </xf>
    <xf numFmtId="0" fontId="10" fillId="5" borderId="1" xfId="8" applyFont="1" applyFill="1" applyBorder="1" applyAlignment="1">
      <alignment horizontal="left" vertical="top" wrapText="1"/>
    </xf>
  </cellXfs>
  <cellStyles count="11">
    <cellStyle name="통화 [0]" xfId="1" builtinId="7"/>
    <cellStyle name="표준" xfId="0" builtinId="0"/>
    <cellStyle name="표준 10" xfId="2"/>
    <cellStyle name="표준 2 10 2 2 3 8 3 2 2" xfId="9"/>
    <cellStyle name="표준 2 101" xfId="7"/>
    <cellStyle name="표준 2 2 4 2" xfId="3"/>
    <cellStyle name="표준 2 3" xfId="4"/>
    <cellStyle name="표준 2 3 2 19" xfId="10"/>
    <cellStyle name="표준 5" xfId="5"/>
    <cellStyle name="표준 500" xfId="8"/>
    <cellStyle name="표준_기능점수표" xfId="6"/>
  </cellStyles>
  <dxfs count="16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auto="1"/>
        </patternFill>
      </fill>
    </dxf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3" defaultTableStyle="TableStyleMedium9" defaultPivotStyle="PivotStyleLight16">
    <tableStyle name="Normal Style 1 - Accent 1" pivot="0" count="7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  <tableStyleElement type="firstColumnStripe" dxfId="9"/>
    </tableStyle>
    <tableStyle name="Light Style 1 - Accent 1" table="0" count="7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MySqlDefault" pivot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w="med" len="med"/>
          <a:tailEnd w="med" len="med"/>
        </a:ln>
        <a:effectLst/>
      </a:spPr>
      <a:bodyPr/>
      <a:lstStyle/>
    </a:spDef>
    <a:lnDef>
      <a:spPr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w="med" len="med"/>
          <a:tailEnd w="med" len="med"/>
        </a:ln>
        <a:effectLst/>
      </a:spPr>
      <a:bodyPr/>
      <a:lstStyle/>
    </a:lnDef>
    <a:txDef>
      <a:spPr/>
      <a:bodyPr/>
      <a:lstStyle/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M24"/>
  <sheetViews>
    <sheetView showZeros="0" tabSelected="1" showWhiteSpace="0" view="pageBreakPreview" zoomScale="85" zoomScaleNormal="70" zoomScaleSheetLayoutView="85" workbookViewId="0">
      <selection activeCell="A7" sqref="A7:B7"/>
    </sheetView>
  </sheetViews>
  <sheetFormatPr defaultColWidth="8.88671875" defaultRowHeight="16.5" x14ac:dyDescent="0.15"/>
  <cols>
    <col min="1" max="1" width="15.33203125" style="86" customWidth="1"/>
    <col min="2" max="2" width="9.6640625" style="86" customWidth="1"/>
    <col min="3" max="3" width="4.21875" style="93" customWidth="1"/>
    <col min="4" max="4" width="28.21875" style="94" customWidth="1"/>
    <col min="5" max="5" width="55.6640625" style="94" customWidth="1"/>
    <col min="6" max="6" width="30.77734375" style="94" customWidth="1"/>
    <col min="7" max="7" width="24.5546875" style="88" customWidth="1"/>
    <col min="8" max="8" width="102.44140625" style="86" bestFit="1" customWidth="1"/>
    <col min="9" max="9" width="16.6640625" style="86" customWidth="1"/>
    <col min="10" max="10" width="10.21875" style="91" customWidth="1"/>
    <col min="11" max="11" width="8.88671875" style="91"/>
    <col min="12" max="12" width="17.44140625" style="91" customWidth="1"/>
    <col min="13" max="16384" width="8.88671875" style="91"/>
  </cols>
  <sheetData>
    <row r="1" spans="1:13" ht="31.5" x14ac:dyDescent="0.15">
      <c r="A1" s="121" t="s">
        <v>954</v>
      </c>
      <c r="B1" s="122"/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</row>
    <row r="2" spans="1:13" ht="17.45" customHeight="1" x14ac:dyDescent="0.15">
      <c r="A2" s="95" t="s">
        <v>1581</v>
      </c>
      <c r="B2" s="123"/>
      <c r="C2" s="123"/>
      <c r="D2" s="123"/>
      <c r="E2" s="92" t="s">
        <v>1558</v>
      </c>
      <c r="F2" s="124"/>
      <c r="G2" s="125"/>
      <c r="H2" s="96" t="s">
        <v>914</v>
      </c>
      <c r="I2" s="107"/>
      <c r="J2" s="107"/>
      <c r="K2" s="107"/>
      <c r="L2" s="107"/>
      <c r="M2" s="107"/>
    </row>
    <row r="3" spans="1:13" x14ac:dyDescent="0.15">
      <c r="A3" s="126"/>
      <c r="B3" s="127"/>
      <c r="C3" s="127"/>
      <c r="D3" s="127"/>
      <c r="E3" s="127"/>
      <c r="F3" s="127"/>
      <c r="G3" s="127"/>
      <c r="H3" s="127"/>
      <c r="I3" s="127"/>
      <c r="J3" s="127"/>
      <c r="K3" s="127"/>
      <c r="L3" s="127"/>
      <c r="M3" s="128"/>
    </row>
    <row r="4" spans="1:13" ht="16.5" customHeight="1" x14ac:dyDescent="0.15">
      <c r="A4" s="95" t="s">
        <v>974</v>
      </c>
      <c r="B4" s="104"/>
      <c r="C4" s="105"/>
      <c r="D4" s="106"/>
      <c r="E4" s="92" t="s">
        <v>917</v>
      </c>
      <c r="F4" s="104"/>
      <c r="G4" s="106"/>
      <c r="H4" s="96" t="s">
        <v>1018</v>
      </c>
      <c r="I4" s="107"/>
      <c r="J4" s="107"/>
      <c r="K4" s="107"/>
      <c r="L4" s="107"/>
      <c r="M4" s="107"/>
    </row>
    <row r="5" spans="1:13" x14ac:dyDescent="0.15">
      <c r="A5" s="108" t="s">
        <v>920</v>
      </c>
      <c r="B5" s="109"/>
      <c r="C5" s="112" t="s">
        <v>944</v>
      </c>
      <c r="D5" s="113"/>
      <c r="E5" s="114" t="s">
        <v>999</v>
      </c>
      <c r="F5" s="116" t="s">
        <v>978</v>
      </c>
      <c r="G5" s="118" t="s">
        <v>983</v>
      </c>
      <c r="H5" s="118" t="s">
        <v>927</v>
      </c>
      <c r="I5" s="120" t="s">
        <v>946</v>
      </c>
      <c r="J5" s="116" t="s">
        <v>965</v>
      </c>
      <c r="K5" s="116" t="s">
        <v>909</v>
      </c>
      <c r="L5" s="116" t="s">
        <v>1595</v>
      </c>
      <c r="M5" s="116" t="s">
        <v>2184</v>
      </c>
    </row>
    <row r="6" spans="1:13" ht="31.5" customHeight="1" x14ac:dyDescent="0.15">
      <c r="A6" s="110"/>
      <c r="B6" s="111"/>
      <c r="C6" s="90" t="s">
        <v>1561</v>
      </c>
      <c r="D6" s="92" t="s">
        <v>925</v>
      </c>
      <c r="E6" s="115"/>
      <c r="F6" s="117"/>
      <c r="G6" s="119"/>
      <c r="H6" s="119"/>
      <c r="I6" s="120"/>
      <c r="J6" s="117"/>
      <c r="K6" s="117"/>
      <c r="L6" s="117"/>
      <c r="M6" s="117"/>
    </row>
    <row r="7" spans="1:13" x14ac:dyDescent="0.15">
      <c r="A7" s="103"/>
      <c r="B7" s="103"/>
      <c r="C7" s="97"/>
      <c r="D7" s="100"/>
      <c r="E7" s="89"/>
      <c r="F7" s="87"/>
      <c r="G7" s="85"/>
      <c r="H7" s="85"/>
      <c r="I7" s="98"/>
      <c r="J7" s="101"/>
      <c r="K7" s="102"/>
      <c r="L7" s="99"/>
      <c r="M7" s="99"/>
    </row>
    <row r="8" spans="1:13" ht="16.5" customHeight="1" x14ac:dyDescent="0.15"/>
    <row r="9" spans="1:13" ht="16.5" customHeight="1" x14ac:dyDescent="0.15"/>
    <row r="10" spans="1:13" ht="16.5" customHeight="1" x14ac:dyDescent="0.15"/>
    <row r="13" spans="1:13" ht="16.5" customHeight="1" x14ac:dyDescent="0.15"/>
    <row r="16" spans="1:13" ht="16.5" customHeight="1" x14ac:dyDescent="0.15"/>
    <row r="19" ht="16.5" customHeight="1" x14ac:dyDescent="0.15"/>
    <row r="21" ht="16.5" customHeight="1" x14ac:dyDescent="0.15"/>
    <row r="22" ht="16.5" customHeight="1" x14ac:dyDescent="0.15"/>
    <row r="23" ht="16.5" customHeight="1" x14ac:dyDescent="0.15"/>
    <row r="24" ht="16.5" customHeight="1" x14ac:dyDescent="0.15"/>
  </sheetData>
  <mergeCells count="20">
    <mergeCell ref="A1:M1"/>
    <mergeCell ref="B2:D2"/>
    <mergeCell ref="F2:G2"/>
    <mergeCell ref="I2:M2"/>
    <mergeCell ref="A3:M3"/>
    <mergeCell ref="A7:B7"/>
    <mergeCell ref="B4:D4"/>
    <mergeCell ref="F4:G4"/>
    <mergeCell ref="I4:M4"/>
    <mergeCell ref="A5:B6"/>
    <mergeCell ref="C5:D5"/>
    <mergeCell ref="E5:E6"/>
    <mergeCell ref="F5:F6"/>
    <mergeCell ref="G5:G6"/>
    <mergeCell ref="H5:H6"/>
    <mergeCell ref="I5:I6"/>
    <mergeCell ref="J5:J6"/>
    <mergeCell ref="K5:K6"/>
    <mergeCell ref="L5:L6"/>
    <mergeCell ref="M5:M6"/>
  </mergeCells>
  <phoneticPr fontId="18" type="noConversion"/>
  <pageMargins left="0.25" right="0.25" top="0.75" bottom="0.75" header="0.30000001192092896" footer="0.30000001192092896"/>
  <pageSetup paperSize="9" scale="37" fitToHeight="0" orientation="landscape" r:id="rId1"/>
  <headerFooter>
    <oddHeader>&amp;R&amp;"휴먼명조,Regular"통합테스트시나리오</oddHeader>
    <oddFooter>&amp;C&amp;"맑은 고딕,Regular"&amp;P</oddFooter>
  </headerFooter>
  <rowBreaks count="1" manualBreakCount="1">
    <brk id="20" max="1048575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W677"/>
  <sheetViews>
    <sheetView view="pageBreakPreview" zoomScale="75" zoomScaleNormal="75" zoomScaleSheetLayoutView="75" workbookViewId="0">
      <selection activeCell="B7" sqref="B7"/>
    </sheetView>
  </sheetViews>
  <sheetFormatPr defaultColWidth="8.88671875" defaultRowHeight="14.25" x14ac:dyDescent="0.15"/>
  <cols>
    <col min="1" max="1" width="9.109375" style="3" bestFit="1" customWidth="1"/>
    <col min="2" max="2" width="43.44140625" style="3" customWidth="1"/>
    <col min="3" max="3" width="10.77734375" style="3" bestFit="1" customWidth="1"/>
    <col min="4" max="4" width="13.77734375" style="2" customWidth="1"/>
    <col min="5" max="5" width="33.77734375" style="1" customWidth="1"/>
    <col min="6" max="6" width="19.109375" style="3" customWidth="1"/>
    <col min="7" max="7" width="9.109375" style="3" customWidth="1"/>
    <col min="8" max="8" width="4.6640625" style="3" customWidth="1"/>
    <col min="9" max="9" width="6.21875" style="3" customWidth="1"/>
    <col min="10" max="10" width="16.77734375" style="3" customWidth="1"/>
    <col min="11" max="11" width="9" style="3" hidden="1" customWidth="1"/>
    <col min="12" max="12" width="5.77734375" style="3" hidden="1" customWidth="1"/>
    <col min="13" max="13" width="6.21875" style="3" hidden="1" customWidth="1"/>
    <col min="14" max="14" width="8.109375" style="2" customWidth="1"/>
    <col min="15" max="16" width="8.88671875" style="3"/>
    <col min="17" max="18" width="10.21875" style="3" bestFit="1" customWidth="1"/>
    <col min="19" max="19" width="11.109375" style="3" customWidth="1"/>
    <col min="20" max="20" width="11" style="3" customWidth="1"/>
    <col min="21" max="22" width="12.21875" style="3" customWidth="1"/>
    <col min="23" max="23" width="10.21875" style="3" bestFit="1" customWidth="1"/>
    <col min="24" max="16384" width="8.88671875" style="3"/>
  </cols>
  <sheetData>
    <row r="1" spans="1:23" s="52" customFormat="1" ht="26.25" x14ac:dyDescent="0.15">
      <c r="A1" s="148" t="s">
        <v>2420</v>
      </c>
      <c r="B1" s="148"/>
      <c r="C1" s="148"/>
      <c r="D1" s="148"/>
      <c r="E1" s="148"/>
      <c r="F1" s="148"/>
      <c r="G1" s="148"/>
      <c r="N1" s="53"/>
    </row>
    <row r="2" spans="1:23" s="52" customFormat="1" ht="26.25" customHeight="1" x14ac:dyDescent="0.15">
      <c r="A2" s="54" t="s">
        <v>1592</v>
      </c>
      <c r="B2" s="149" t="s">
        <v>2651</v>
      </c>
      <c r="C2" s="149"/>
      <c r="D2" s="149"/>
      <c r="E2" s="54" t="s">
        <v>1010</v>
      </c>
      <c r="F2" s="150" t="s">
        <v>1670</v>
      </c>
      <c r="G2" s="150"/>
      <c r="H2" s="150"/>
      <c r="I2" s="150"/>
      <c r="J2" s="150"/>
      <c r="K2" s="150"/>
      <c r="L2" s="150"/>
      <c r="M2" s="150"/>
      <c r="N2" s="53" t="s">
        <v>1566</v>
      </c>
      <c r="O2" s="52" t="s">
        <v>1568</v>
      </c>
      <c r="P2" s="52">
        <v>7</v>
      </c>
    </row>
    <row r="3" spans="1:23" s="52" customFormat="1" ht="12.75" x14ac:dyDescent="0.15">
      <c r="A3" s="54" t="s">
        <v>1582</v>
      </c>
      <c r="B3" s="151" t="s">
        <v>934</v>
      </c>
      <c r="C3" s="152"/>
      <c r="D3" s="54" t="s">
        <v>928</v>
      </c>
      <c r="E3" s="55" t="s">
        <v>1854</v>
      </c>
      <c r="F3" s="54" t="s">
        <v>1560</v>
      </c>
      <c r="G3" s="153" t="s">
        <v>933</v>
      </c>
      <c r="H3" s="153"/>
      <c r="I3" s="153"/>
      <c r="J3" s="153"/>
      <c r="K3" s="153"/>
      <c r="L3" s="153"/>
      <c r="M3" s="153"/>
      <c r="N3" s="53"/>
      <c r="O3" s="52" t="s">
        <v>1586</v>
      </c>
      <c r="P3" s="52">
        <v>11</v>
      </c>
    </row>
    <row r="4" spans="1:23" x14ac:dyDescent="0.15">
      <c r="A4" s="16" t="s">
        <v>935</v>
      </c>
      <c r="B4" s="129" t="s">
        <v>635</v>
      </c>
      <c r="C4" s="130"/>
      <c r="D4" s="15" t="s">
        <v>1011</v>
      </c>
      <c r="E4" s="14" t="s">
        <v>2636</v>
      </c>
      <c r="F4" s="13" t="s">
        <v>2495</v>
      </c>
      <c r="G4" s="154" t="s">
        <v>849</v>
      </c>
      <c r="H4" s="155"/>
      <c r="I4" s="155"/>
      <c r="J4" s="155"/>
      <c r="K4" s="155"/>
      <c r="L4" s="155"/>
      <c r="M4" s="155"/>
      <c r="O4" s="3" t="s">
        <v>1565</v>
      </c>
      <c r="P4" s="3">
        <v>43</v>
      </c>
      <c r="R4" s="3">
        <f>R5-Q5</f>
        <v>113</v>
      </c>
      <c r="S4" s="3">
        <f>S5-R5</f>
        <v>58</v>
      </c>
      <c r="T4" s="3">
        <f>T5-R5</f>
        <v>66</v>
      </c>
      <c r="U4" s="3">
        <f t="shared" ref="U4:W4" si="0">U5-T5</f>
        <v>45</v>
      </c>
      <c r="V4" s="3">
        <f t="shared" si="0"/>
        <v>50</v>
      </c>
      <c r="W4" s="3">
        <f t="shared" si="0"/>
        <v>43</v>
      </c>
    </row>
    <row r="5" spans="1:23" x14ac:dyDescent="0.15">
      <c r="A5" s="134" t="s">
        <v>977</v>
      </c>
      <c r="B5" s="136" t="s">
        <v>920</v>
      </c>
      <c r="C5" s="138" t="s">
        <v>1008</v>
      </c>
      <c r="D5" s="140" t="s">
        <v>1009</v>
      </c>
      <c r="E5" s="142" t="s">
        <v>2118</v>
      </c>
      <c r="F5" s="142" t="s">
        <v>1849</v>
      </c>
      <c r="G5" s="144" t="s">
        <v>994</v>
      </c>
      <c r="H5" s="145"/>
      <c r="I5" s="145"/>
      <c r="J5" s="146"/>
      <c r="K5" s="144" t="s">
        <v>982</v>
      </c>
      <c r="L5" s="145"/>
      <c r="M5" s="147"/>
      <c r="O5" s="3" t="s">
        <v>1594</v>
      </c>
      <c r="P5" s="3">
        <v>417</v>
      </c>
      <c r="Q5" s="3">
        <f t="shared" ref="Q5:W5" si="1">COUNTIF(Q7:Q1004,0)</f>
        <v>100</v>
      </c>
      <c r="R5" s="3">
        <f t="shared" si="1"/>
        <v>213</v>
      </c>
      <c r="S5" s="3">
        <f t="shared" si="1"/>
        <v>271</v>
      </c>
      <c r="T5" s="3">
        <f t="shared" si="1"/>
        <v>279</v>
      </c>
      <c r="U5" s="3">
        <f>COUNTIF(U7:U1004,0)</f>
        <v>324</v>
      </c>
      <c r="V5" s="3">
        <f t="shared" si="1"/>
        <v>374</v>
      </c>
      <c r="W5" s="3">
        <f t="shared" si="1"/>
        <v>417</v>
      </c>
    </row>
    <row r="6" spans="1:23" x14ac:dyDescent="0.15">
      <c r="A6" s="135"/>
      <c r="B6" s="137"/>
      <c r="C6" s="139"/>
      <c r="D6" s="141"/>
      <c r="E6" s="143"/>
      <c r="F6" s="143"/>
      <c r="G6" s="12" t="s">
        <v>1588</v>
      </c>
      <c r="H6" s="12" t="s">
        <v>1578</v>
      </c>
      <c r="I6" s="12" t="s">
        <v>1562</v>
      </c>
      <c r="J6" s="12" t="s">
        <v>1007</v>
      </c>
      <c r="K6" s="12" t="s">
        <v>1588</v>
      </c>
      <c r="L6" s="12" t="s">
        <v>1578</v>
      </c>
      <c r="M6" s="11" t="s">
        <v>1562</v>
      </c>
      <c r="Q6" s="51">
        <v>43077</v>
      </c>
      <c r="R6" s="51">
        <v>43095</v>
      </c>
      <c r="S6" s="51">
        <v>43098</v>
      </c>
      <c r="T6" s="51">
        <v>43100</v>
      </c>
      <c r="U6" s="51">
        <v>43105</v>
      </c>
      <c r="V6" s="51">
        <v>43119</v>
      </c>
      <c r="W6" s="51">
        <v>43121</v>
      </c>
    </row>
    <row r="7" spans="1:23" customFormat="1" x14ac:dyDescent="0.15">
      <c r="A7" s="10" t="s">
        <v>1983</v>
      </c>
      <c r="B7" s="9" t="s">
        <v>1432</v>
      </c>
      <c r="C7" s="8" t="s">
        <v>1003</v>
      </c>
      <c r="D7" s="5"/>
      <c r="E7" s="4"/>
      <c r="F7" s="4"/>
      <c r="G7" s="7">
        <v>43119</v>
      </c>
      <c r="H7" s="6"/>
      <c r="I7" s="31" t="s">
        <v>1580</v>
      </c>
      <c r="J7" s="5"/>
      <c r="K7" s="7"/>
      <c r="L7" s="6"/>
      <c r="M7" s="5"/>
      <c r="N7" s="2" t="s">
        <v>1586</v>
      </c>
      <c r="O7" t="s">
        <v>1570</v>
      </c>
      <c r="P7" s="49">
        <f>COUNTIF(I:I,O7)</f>
        <v>6</v>
      </c>
      <c r="Q7" s="3" t="b">
        <f>IF($Q$6&gt;=G7,0)</f>
        <v>0</v>
      </c>
      <c r="R7" s="3" t="b">
        <f>IF($R$6&gt;=G7,0)</f>
        <v>0</v>
      </c>
      <c r="S7" s="3"/>
      <c r="T7" s="3" t="b">
        <f>IF($T$6&gt;=G7,0)</f>
        <v>0</v>
      </c>
      <c r="U7" s="3" t="b">
        <f>IF($U$6&gt;=G7,0)</f>
        <v>0</v>
      </c>
      <c r="V7" s="3">
        <f>IF($V$6&gt;=G7,0)</f>
        <v>0</v>
      </c>
      <c r="W7">
        <f>IF($W$6&gt;=G7,0)</f>
        <v>0</v>
      </c>
    </row>
    <row r="8" spans="1:23" ht="33.75" x14ac:dyDescent="0.15">
      <c r="A8" s="10" t="s">
        <v>1743</v>
      </c>
      <c r="B8" s="9" t="s">
        <v>1240</v>
      </c>
      <c r="C8" s="8" t="s">
        <v>1003</v>
      </c>
      <c r="D8" s="5" t="s">
        <v>988</v>
      </c>
      <c r="E8" s="4" t="s">
        <v>392</v>
      </c>
      <c r="F8" s="4" t="s">
        <v>1067</v>
      </c>
      <c r="G8" s="7">
        <v>43095</v>
      </c>
      <c r="H8" s="6" t="s">
        <v>951</v>
      </c>
      <c r="I8" s="5" t="s">
        <v>1580</v>
      </c>
      <c r="J8" s="5"/>
      <c r="K8" s="7"/>
      <c r="L8" s="6"/>
      <c r="M8" s="5"/>
      <c r="O8" s="3" t="s">
        <v>1593</v>
      </c>
      <c r="P8" s="49">
        <f>COUNTIF(I:I,O8)</f>
        <v>37</v>
      </c>
      <c r="Q8" s="3" t="b">
        <f t="shared" ref="Q8:Q11" si="2">IF($Q$6&gt;=G8,0)</f>
        <v>0</v>
      </c>
      <c r="R8" s="3">
        <f t="shared" ref="R8:R11" si="3">IF($R$6&gt;=G8,0)</f>
        <v>0</v>
      </c>
      <c r="S8" s="3">
        <f>IF($S$6&gt;=G8,0)</f>
        <v>0</v>
      </c>
      <c r="T8" s="3">
        <f t="shared" ref="T8:T11" si="4">IF($T$6&gt;=G8,0)</f>
        <v>0</v>
      </c>
      <c r="U8" s="3">
        <f t="shared" ref="U8:U11" si="5">IF($U$6&gt;=G8,0)</f>
        <v>0</v>
      </c>
      <c r="V8" s="3">
        <f t="shared" ref="V8:V11" si="6">IF($V$6&gt;=G8,0)</f>
        <v>0</v>
      </c>
      <c r="W8">
        <f t="shared" ref="W8:W11" si="7">IF($W$6&gt;=G8,0)</f>
        <v>0</v>
      </c>
    </row>
    <row r="9" spans="1:23" s="50" customFormat="1" ht="22.5" x14ac:dyDescent="0.15">
      <c r="A9" s="10" t="s">
        <v>1949</v>
      </c>
      <c r="B9" s="9" t="s">
        <v>263</v>
      </c>
      <c r="C9" s="8" t="s">
        <v>1003</v>
      </c>
      <c r="D9" s="5" t="s">
        <v>988</v>
      </c>
      <c r="E9" s="4" t="s">
        <v>494</v>
      </c>
      <c r="F9" s="4" t="s">
        <v>111</v>
      </c>
      <c r="G9" s="7">
        <v>43095</v>
      </c>
      <c r="H9" s="6" t="s">
        <v>951</v>
      </c>
      <c r="I9" s="5" t="s">
        <v>1580</v>
      </c>
      <c r="J9" s="5"/>
      <c r="K9" s="7"/>
      <c r="L9" s="6"/>
      <c r="M9" s="5"/>
      <c r="N9" s="2"/>
      <c r="O9" s="3" t="s">
        <v>1573</v>
      </c>
      <c r="P9" s="49">
        <f>COUNTIF(I:I,O9)</f>
        <v>31</v>
      </c>
      <c r="Q9" s="3" t="b">
        <f t="shared" si="2"/>
        <v>0</v>
      </c>
      <c r="R9" s="3">
        <f t="shared" si="3"/>
        <v>0</v>
      </c>
      <c r="S9" s="3">
        <f t="shared" ref="S9:S10" si="8">IF($S$6&gt;=G9,0)</f>
        <v>0</v>
      </c>
      <c r="T9" s="3">
        <f t="shared" si="4"/>
        <v>0</v>
      </c>
      <c r="U9" s="3">
        <f t="shared" si="5"/>
        <v>0</v>
      </c>
      <c r="V9" s="3">
        <f t="shared" si="6"/>
        <v>0</v>
      </c>
      <c r="W9">
        <f t="shared" si="7"/>
        <v>0</v>
      </c>
    </row>
    <row r="10" spans="1:23" ht="22.5" x14ac:dyDescent="0.15">
      <c r="A10" s="10" t="s">
        <v>1747</v>
      </c>
      <c r="B10" s="9" t="s">
        <v>308</v>
      </c>
      <c r="C10" s="8" t="s">
        <v>1003</v>
      </c>
      <c r="D10" s="5" t="s">
        <v>993</v>
      </c>
      <c r="E10" s="4" t="s">
        <v>384</v>
      </c>
      <c r="F10" s="4" t="s">
        <v>1233</v>
      </c>
      <c r="G10" s="7">
        <v>43095</v>
      </c>
      <c r="H10" s="6" t="s">
        <v>951</v>
      </c>
      <c r="I10" s="5" t="s">
        <v>1580</v>
      </c>
      <c r="J10" s="5"/>
      <c r="K10" s="7"/>
      <c r="L10" s="6"/>
      <c r="M10" s="5"/>
      <c r="O10" s="3" t="s">
        <v>1597</v>
      </c>
      <c r="P10" s="49">
        <f>COUNTIF(I:I,O10)</f>
        <v>10</v>
      </c>
      <c r="Q10" s="3" t="b">
        <f t="shared" si="2"/>
        <v>0</v>
      </c>
      <c r="R10" s="3">
        <f t="shared" si="3"/>
        <v>0</v>
      </c>
      <c r="S10" s="3">
        <f t="shared" si="8"/>
        <v>0</v>
      </c>
      <c r="T10" s="3">
        <f t="shared" si="4"/>
        <v>0</v>
      </c>
      <c r="U10" s="3">
        <f t="shared" si="5"/>
        <v>0</v>
      </c>
      <c r="V10" s="3">
        <f t="shared" si="6"/>
        <v>0</v>
      </c>
      <c r="W10">
        <f t="shared" si="7"/>
        <v>0</v>
      </c>
    </row>
    <row r="11" spans="1:23" ht="25.5" x14ac:dyDescent="0.15">
      <c r="A11" s="10" t="s">
        <v>1933</v>
      </c>
      <c r="B11" s="9" t="s">
        <v>471</v>
      </c>
      <c r="C11" s="8" t="s">
        <v>1003</v>
      </c>
      <c r="D11" s="5"/>
      <c r="E11" s="4"/>
      <c r="F11" s="4"/>
      <c r="G11" s="7">
        <v>43119</v>
      </c>
      <c r="H11" s="6"/>
      <c r="I11" s="31" t="s">
        <v>1580</v>
      </c>
      <c r="J11" s="5"/>
      <c r="K11" s="7"/>
      <c r="L11" s="6"/>
      <c r="M11" s="5"/>
      <c r="N11" s="2" t="s">
        <v>1586</v>
      </c>
      <c r="O11" s="3" t="s">
        <v>1587</v>
      </c>
      <c r="P11" s="49">
        <f>COUNTIF(I:I,O11)</f>
        <v>49</v>
      </c>
      <c r="Q11" s="3" t="b">
        <f t="shared" si="2"/>
        <v>0</v>
      </c>
      <c r="R11" s="3" t="b">
        <f t="shared" si="3"/>
        <v>0</v>
      </c>
      <c r="T11" s="3" t="b">
        <f t="shared" si="4"/>
        <v>0</v>
      </c>
      <c r="U11" s="3" t="b">
        <f t="shared" si="5"/>
        <v>0</v>
      </c>
      <c r="V11" s="3">
        <f t="shared" si="6"/>
        <v>0</v>
      </c>
      <c r="W11">
        <f t="shared" si="7"/>
        <v>0</v>
      </c>
    </row>
    <row r="12" spans="1:23" ht="22.5" x14ac:dyDescent="0.15">
      <c r="A12" s="16" t="s">
        <v>935</v>
      </c>
      <c r="B12" s="129" t="s">
        <v>1404</v>
      </c>
      <c r="C12" s="130"/>
      <c r="D12" s="15" t="s">
        <v>1011</v>
      </c>
      <c r="E12" s="14" t="s">
        <v>128</v>
      </c>
      <c r="F12" s="13" t="s">
        <v>2495</v>
      </c>
      <c r="G12" s="131" t="s">
        <v>1455</v>
      </c>
      <c r="H12" s="132"/>
      <c r="I12" s="132"/>
      <c r="J12" s="132"/>
      <c r="K12" s="132"/>
      <c r="L12" s="132"/>
      <c r="M12" s="133"/>
    </row>
    <row r="13" spans="1:23" x14ac:dyDescent="0.15">
      <c r="A13" s="134" t="s">
        <v>977</v>
      </c>
      <c r="B13" s="136" t="s">
        <v>920</v>
      </c>
      <c r="C13" s="138" t="s">
        <v>1008</v>
      </c>
      <c r="D13" s="140" t="s">
        <v>1009</v>
      </c>
      <c r="E13" s="142" t="s">
        <v>2118</v>
      </c>
      <c r="F13" s="142" t="s">
        <v>1849</v>
      </c>
      <c r="G13" s="144" t="s">
        <v>994</v>
      </c>
      <c r="H13" s="145"/>
      <c r="I13" s="145"/>
      <c r="J13" s="146"/>
      <c r="K13" s="144" t="s">
        <v>982</v>
      </c>
      <c r="L13" s="145"/>
      <c r="M13" s="147"/>
    </row>
    <row r="14" spans="1:23" x14ac:dyDescent="0.15">
      <c r="A14" s="135"/>
      <c r="B14" s="137"/>
      <c r="C14" s="139"/>
      <c r="D14" s="141"/>
      <c r="E14" s="143"/>
      <c r="F14" s="143"/>
      <c r="G14" s="12" t="s">
        <v>1588</v>
      </c>
      <c r="H14" s="12" t="s">
        <v>1578</v>
      </c>
      <c r="I14" s="12" t="s">
        <v>1562</v>
      </c>
      <c r="J14" s="12" t="s">
        <v>1007</v>
      </c>
      <c r="K14" s="12" t="s">
        <v>1588</v>
      </c>
      <c r="L14" s="12" t="s">
        <v>1578</v>
      </c>
      <c r="M14" s="11" t="s">
        <v>1562</v>
      </c>
    </row>
    <row r="15" spans="1:23" ht="25.5" x14ac:dyDescent="0.15">
      <c r="A15" s="10" t="s">
        <v>1687</v>
      </c>
      <c r="B15" s="9" t="s">
        <v>317</v>
      </c>
      <c r="C15" s="8" t="s">
        <v>1447</v>
      </c>
      <c r="D15" s="5" t="s">
        <v>993</v>
      </c>
      <c r="E15" s="4" t="s">
        <v>2713</v>
      </c>
      <c r="F15" s="4" t="s">
        <v>1128</v>
      </c>
      <c r="G15" s="7">
        <v>43095</v>
      </c>
      <c r="H15" s="6" t="s">
        <v>951</v>
      </c>
      <c r="I15" s="5" t="s">
        <v>1580</v>
      </c>
      <c r="J15" s="5"/>
      <c r="K15" s="7"/>
      <c r="L15" s="6"/>
      <c r="M15" s="5"/>
      <c r="O15" s="3" t="s">
        <v>1579</v>
      </c>
      <c r="P15" s="49">
        <f>COUNTIF(I:I,O15)</f>
        <v>76</v>
      </c>
      <c r="Q15" s="3" t="b">
        <f t="shared" ref="Q15:Q17" si="9">IF($Q$6&gt;=G15,0)</f>
        <v>0</v>
      </c>
      <c r="R15" s="3">
        <f t="shared" ref="R15:R17" si="10">IF($R$6&gt;=G15,0)</f>
        <v>0</v>
      </c>
      <c r="S15" s="3">
        <f t="shared" ref="S15:S16" si="11">IF($S$6&gt;=G15,0)</f>
        <v>0</v>
      </c>
      <c r="T15" s="3">
        <f t="shared" ref="T15:T17" si="12">IF($T$6&gt;=G15,0)</f>
        <v>0</v>
      </c>
      <c r="U15" s="3">
        <f t="shared" ref="U15:U17" si="13">IF($U$6&gt;=G15,0)</f>
        <v>0</v>
      </c>
      <c r="V15" s="3">
        <f t="shared" ref="V15:V17" si="14">IF($V$6&gt;=G15,0)</f>
        <v>0</v>
      </c>
      <c r="W15">
        <f t="shared" ref="W15:W17" si="15">IF($W$6&gt;=G15,0)</f>
        <v>0</v>
      </c>
    </row>
    <row r="16" spans="1:23" ht="25.5" x14ac:dyDescent="0.15">
      <c r="A16" s="10" t="s">
        <v>1952</v>
      </c>
      <c r="B16" s="9" t="s">
        <v>335</v>
      </c>
      <c r="C16" s="8" t="s">
        <v>1447</v>
      </c>
      <c r="D16" s="5" t="s">
        <v>1589</v>
      </c>
      <c r="E16" s="4" t="s">
        <v>2659</v>
      </c>
      <c r="F16" s="4" t="s">
        <v>114</v>
      </c>
      <c r="G16" s="7">
        <v>43095</v>
      </c>
      <c r="H16" s="6" t="s">
        <v>951</v>
      </c>
      <c r="I16" s="5" t="s">
        <v>1580</v>
      </c>
      <c r="J16" s="5"/>
      <c r="K16" s="7"/>
      <c r="L16" s="6"/>
      <c r="M16" s="5"/>
      <c r="O16" s="3" t="s">
        <v>1580</v>
      </c>
      <c r="P16" s="49">
        <f>COUNTIF(I:I,O16)</f>
        <v>32</v>
      </c>
      <c r="Q16" s="3" t="b">
        <f t="shared" si="9"/>
        <v>0</v>
      </c>
      <c r="R16" s="3">
        <f t="shared" si="10"/>
        <v>0</v>
      </c>
      <c r="S16" s="3">
        <f t="shared" si="11"/>
        <v>0</v>
      </c>
      <c r="T16" s="3">
        <f t="shared" si="12"/>
        <v>0</v>
      </c>
      <c r="U16" s="3">
        <f t="shared" si="13"/>
        <v>0</v>
      </c>
      <c r="V16" s="3">
        <f t="shared" si="14"/>
        <v>0</v>
      </c>
      <c r="W16">
        <f t="shared" si="15"/>
        <v>0</v>
      </c>
    </row>
    <row r="17" spans="1:23" ht="25.5" x14ac:dyDescent="0.15">
      <c r="A17" s="10" t="s">
        <v>2330</v>
      </c>
      <c r="B17" s="9" t="s">
        <v>2632</v>
      </c>
      <c r="C17" s="8" t="s">
        <v>1447</v>
      </c>
      <c r="D17" s="5" t="s">
        <v>1589</v>
      </c>
      <c r="E17" s="4"/>
      <c r="F17" s="4"/>
      <c r="G17" s="7">
        <v>43119</v>
      </c>
      <c r="H17" s="6"/>
      <c r="I17" s="31" t="s">
        <v>1580</v>
      </c>
      <c r="J17" s="5"/>
      <c r="K17" s="7"/>
      <c r="L17" s="6"/>
      <c r="M17" s="5"/>
      <c r="N17" s="2" t="s">
        <v>1586</v>
      </c>
      <c r="O17" s="3" t="s">
        <v>1596</v>
      </c>
      <c r="P17" s="49">
        <f>COUNTIF(I:I,O17)</f>
        <v>60</v>
      </c>
      <c r="Q17" s="3" t="b">
        <f t="shared" si="9"/>
        <v>0</v>
      </c>
      <c r="R17" s="3" t="b">
        <f t="shared" si="10"/>
        <v>0</v>
      </c>
      <c r="T17" s="3" t="b">
        <f t="shared" si="12"/>
        <v>0</v>
      </c>
      <c r="U17" s="3" t="b">
        <f t="shared" si="13"/>
        <v>0</v>
      </c>
      <c r="V17" s="3">
        <f t="shared" si="14"/>
        <v>0</v>
      </c>
      <c r="W17">
        <f t="shared" si="15"/>
        <v>0</v>
      </c>
    </row>
    <row r="18" spans="1:23" ht="15" customHeight="1" x14ac:dyDescent="0.15">
      <c r="A18" s="16" t="s">
        <v>935</v>
      </c>
      <c r="B18" s="129" t="s">
        <v>1448</v>
      </c>
      <c r="C18" s="130"/>
      <c r="D18" s="15" t="s">
        <v>1011</v>
      </c>
      <c r="E18" s="14" t="s">
        <v>1188</v>
      </c>
      <c r="F18" s="13" t="s">
        <v>2495</v>
      </c>
      <c r="G18" s="131" t="s">
        <v>1495</v>
      </c>
      <c r="H18" s="132"/>
      <c r="I18" s="132"/>
      <c r="J18" s="132"/>
      <c r="K18" s="132"/>
      <c r="L18" s="132"/>
      <c r="M18" s="133"/>
    </row>
    <row r="19" spans="1:23" x14ac:dyDescent="0.15">
      <c r="A19" s="134" t="s">
        <v>977</v>
      </c>
      <c r="B19" s="136" t="s">
        <v>920</v>
      </c>
      <c r="C19" s="138" t="s">
        <v>1008</v>
      </c>
      <c r="D19" s="140" t="s">
        <v>1009</v>
      </c>
      <c r="E19" s="142" t="s">
        <v>2118</v>
      </c>
      <c r="F19" s="142" t="s">
        <v>1849</v>
      </c>
      <c r="G19" s="144" t="s">
        <v>994</v>
      </c>
      <c r="H19" s="145"/>
      <c r="I19" s="145"/>
      <c r="J19" s="146"/>
      <c r="K19" s="144" t="s">
        <v>982</v>
      </c>
      <c r="L19" s="145"/>
      <c r="M19" s="147"/>
    </row>
    <row r="20" spans="1:23" x14ac:dyDescent="0.15">
      <c r="A20" s="135"/>
      <c r="B20" s="137"/>
      <c r="C20" s="139"/>
      <c r="D20" s="141"/>
      <c r="E20" s="143"/>
      <c r="F20" s="143"/>
      <c r="G20" s="12" t="s">
        <v>1588</v>
      </c>
      <c r="H20" s="12" t="s">
        <v>1578</v>
      </c>
      <c r="I20" s="12" t="s">
        <v>1562</v>
      </c>
      <c r="J20" s="12" t="s">
        <v>1007</v>
      </c>
      <c r="K20" s="12" t="s">
        <v>1588</v>
      </c>
      <c r="L20" s="12" t="s">
        <v>1578</v>
      </c>
      <c r="M20" s="11" t="s">
        <v>1562</v>
      </c>
    </row>
    <row r="21" spans="1:23" ht="33.75" x14ac:dyDescent="0.15">
      <c r="A21" s="10" t="s">
        <v>1753</v>
      </c>
      <c r="B21" s="9" t="s">
        <v>1531</v>
      </c>
      <c r="C21" s="8" t="s">
        <v>1447</v>
      </c>
      <c r="D21" s="4" t="s">
        <v>1801</v>
      </c>
      <c r="E21" s="4" t="s">
        <v>377</v>
      </c>
      <c r="F21" s="4" t="s">
        <v>1172</v>
      </c>
      <c r="G21" s="7">
        <v>43121</v>
      </c>
      <c r="H21" s="6"/>
      <c r="I21" s="31" t="s">
        <v>1563</v>
      </c>
      <c r="J21" s="5"/>
      <c r="K21" s="7"/>
      <c r="L21" s="6"/>
      <c r="M21" s="5"/>
      <c r="N21" s="2" t="s">
        <v>1565</v>
      </c>
      <c r="O21" s="3" t="s">
        <v>1569</v>
      </c>
      <c r="P21" s="49">
        <f>COUNTIF(I:I,O21)</f>
        <v>12</v>
      </c>
      <c r="Q21" s="3" t="b">
        <f>IF($Q$6&gt;=G21,0)</f>
        <v>0</v>
      </c>
      <c r="R21" s="3" t="b">
        <f>IF($R$6&gt;=G21,0)</f>
        <v>0</v>
      </c>
      <c r="T21" s="3" t="b">
        <f>IF($T$6&gt;=G21,0)</f>
        <v>0</v>
      </c>
      <c r="U21" s="3" t="b">
        <f>IF($U$6&gt;=G21,0)</f>
        <v>0</v>
      </c>
      <c r="V21" s="3" t="b">
        <f>IF($V$6&gt;=G21,0)</f>
        <v>0</v>
      </c>
      <c r="W21">
        <f>IF($W$6&gt;=G21,0)</f>
        <v>0</v>
      </c>
    </row>
    <row r="22" spans="1:23" ht="15" customHeight="1" x14ac:dyDescent="0.15">
      <c r="A22" s="16" t="s">
        <v>935</v>
      </c>
      <c r="B22" s="129" t="s">
        <v>616</v>
      </c>
      <c r="C22" s="130"/>
      <c r="D22" s="15" t="s">
        <v>1011</v>
      </c>
      <c r="E22" s="14" t="s">
        <v>2634</v>
      </c>
      <c r="F22" s="13" t="s">
        <v>2495</v>
      </c>
      <c r="G22" s="131" t="s">
        <v>1528</v>
      </c>
      <c r="H22" s="132"/>
      <c r="I22" s="132"/>
      <c r="J22" s="132"/>
      <c r="K22" s="132"/>
      <c r="L22" s="132"/>
      <c r="M22" s="133"/>
    </row>
    <row r="23" spans="1:23" x14ac:dyDescent="0.15">
      <c r="A23" s="134" t="s">
        <v>977</v>
      </c>
      <c r="B23" s="136" t="s">
        <v>920</v>
      </c>
      <c r="C23" s="138" t="s">
        <v>1008</v>
      </c>
      <c r="D23" s="140" t="s">
        <v>1009</v>
      </c>
      <c r="E23" s="142" t="s">
        <v>2118</v>
      </c>
      <c r="F23" s="142" t="s">
        <v>1849</v>
      </c>
      <c r="G23" s="144" t="s">
        <v>994</v>
      </c>
      <c r="H23" s="145"/>
      <c r="I23" s="145"/>
      <c r="J23" s="146"/>
      <c r="K23" s="144" t="s">
        <v>982</v>
      </c>
      <c r="L23" s="145"/>
      <c r="M23" s="147"/>
    </row>
    <row r="24" spans="1:23" x14ac:dyDescent="0.15">
      <c r="A24" s="135"/>
      <c r="B24" s="137"/>
      <c r="C24" s="139"/>
      <c r="D24" s="141"/>
      <c r="E24" s="143"/>
      <c r="F24" s="143"/>
      <c r="G24" s="12" t="s">
        <v>1588</v>
      </c>
      <c r="H24" s="12" t="s">
        <v>1578</v>
      </c>
      <c r="I24" s="12" t="s">
        <v>1562</v>
      </c>
      <c r="J24" s="12" t="s">
        <v>1007</v>
      </c>
      <c r="K24" s="12" t="s">
        <v>1588</v>
      </c>
      <c r="L24" s="12" t="s">
        <v>1578</v>
      </c>
      <c r="M24" s="11" t="s">
        <v>1562</v>
      </c>
    </row>
    <row r="25" spans="1:23" ht="33.75" x14ac:dyDescent="0.15">
      <c r="A25" s="10" t="s">
        <v>1756</v>
      </c>
      <c r="B25" s="9" t="s">
        <v>1090</v>
      </c>
      <c r="C25" s="8" t="s">
        <v>1447</v>
      </c>
      <c r="D25" s="5" t="s">
        <v>1159</v>
      </c>
      <c r="E25" s="4" t="s">
        <v>475</v>
      </c>
      <c r="F25" s="4" t="s">
        <v>291</v>
      </c>
      <c r="G25" s="7">
        <v>43121</v>
      </c>
      <c r="H25" s="6"/>
      <c r="I25" s="31" t="s">
        <v>1563</v>
      </c>
      <c r="J25" s="5"/>
      <c r="K25" s="7"/>
      <c r="L25" s="6"/>
      <c r="M25" s="5"/>
      <c r="N25" s="2" t="s">
        <v>1565</v>
      </c>
      <c r="O25" s="3" t="s">
        <v>1563</v>
      </c>
      <c r="P25" s="49">
        <f>COUNTIF(I:I,O25)</f>
        <v>43</v>
      </c>
      <c r="Q25" s="3" t="b">
        <f t="shared" ref="Q25:Q40" si="16">IF($Q$6&gt;=G25,0)</f>
        <v>0</v>
      </c>
      <c r="R25" s="3" t="b">
        <f t="shared" ref="R25:R40" si="17">IF($R$6&gt;=G25,0)</f>
        <v>0</v>
      </c>
      <c r="T25" s="3" t="b">
        <f t="shared" ref="T25:T40" si="18">IF($T$6&gt;=G25,0)</f>
        <v>0</v>
      </c>
      <c r="U25" s="3" t="b">
        <f t="shared" ref="U25:U40" si="19">IF($U$6&gt;=G25,0)</f>
        <v>0</v>
      </c>
      <c r="V25" s="3" t="b">
        <f t="shared" ref="V25:V40" si="20">IF($V$6&gt;=G25,0)</f>
        <v>0</v>
      </c>
      <c r="W25">
        <f t="shared" ref="W25:W40" si="21">IF($W$6&gt;=G25,0)</f>
        <v>0</v>
      </c>
    </row>
    <row r="26" spans="1:23" ht="33.75" x14ac:dyDescent="0.15">
      <c r="A26" s="10" t="s">
        <v>1763</v>
      </c>
      <c r="B26" s="9" t="s">
        <v>1134</v>
      </c>
      <c r="C26" s="8" t="s">
        <v>1447</v>
      </c>
      <c r="D26" s="5" t="s">
        <v>1677</v>
      </c>
      <c r="E26" s="4" t="s">
        <v>464</v>
      </c>
      <c r="F26" s="4" t="s">
        <v>232</v>
      </c>
      <c r="G26" s="7">
        <v>43121</v>
      </c>
      <c r="H26" s="6"/>
      <c r="I26" s="31" t="s">
        <v>1563</v>
      </c>
      <c r="J26" s="5"/>
      <c r="K26" s="7"/>
      <c r="L26" s="6"/>
      <c r="M26" s="5"/>
      <c r="N26" s="2" t="s">
        <v>1565</v>
      </c>
      <c r="O26" s="3" t="s">
        <v>1585</v>
      </c>
      <c r="P26" s="49">
        <f>COUNTIF(I:I,O26)</f>
        <v>56</v>
      </c>
      <c r="Q26" s="3" t="b">
        <f t="shared" si="16"/>
        <v>0</v>
      </c>
      <c r="R26" s="3" t="b">
        <f t="shared" si="17"/>
        <v>0</v>
      </c>
      <c r="T26" s="3" t="b">
        <f t="shared" si="18"/>
        <v>0</v>
      </c>
      <c r="U26" s="3" t="b">
        <f t="shared" si="19"/>
        <v>0</v>
      </c>
      <c r="V26" s="3" t="b">
        <f t="shared" si="20"/>
        <v>0</v>
      </c>
      <c r="W26">
        <f t="shared" si="21"/>
        <v>0</v>
      </c>
    </row>
    <row r="27" spans="1:23" ht="33.75" x14ac:dyDescent="0.15">
      <c r="A27" s="10" t="s">
        <v>2373</v>
      </c>
      <c r="B27" s="9" t="s">
        <v>1162</v>
      </c>
      <c r="C27" s="8" t="s">
        <v>1447</v>
      </c>
      <c r="D27" s="5" t="s">
        <v>1677</v>
      </c>
      <c r="E27" s="4" t="s">
        <v>403</v>
      </c>
      <c r="F27" s="4" t="s">
        <v>271</v>
      </c>
      <c r="G27" s="7">
        <v>43121</v>
      </c>
      <c r="H27" s="6"/>
      <c r="I27" s="31" t="s">
        <v>1563</v>
      </c>
      <c r="J27" s="5"/>
      <c r="K27" s="7"/>
      <c r="L27" s="6"/>
      <c r="M27" s="5"/>
      <c r="N27" s="2" t="s">
        <v>1565</v>
      </c>
      <c r="O27" s="3" t="s">
        <v>1577</v>
      </c>
      <c r="P27" s="49">
        <f>COUNTIF(I:I,O27)</f>
        <v>4</v>
      </c>
      <c r="Q27" s="3" t="b">
        <f t="shared" si="16"/>
        <v>0</v>
      </c>
      <c r="R27" s="3" t="b">
        <f t="shared" si="17"/>
        <v>0</v>
      </c>
      <c r="T27" s="3" t="b">
        <f t="shared" si="18"/>
        <v>0</v>
      </c>
      <c r="U27" s="3" t="b">
        <f t="shared" si="19"/>
        <v>0</v>
      </c>
      <c r="V27" s="3" t="b">
        <f t="shared" si="20"/>
        <v>0</v>
      </c>
      <c r="W27">
        <f t="shared" si="21"/>
        <v>0</v>
      </c>
    </row>
    <row r="28" spans="1:23" ht="33.75" x14ac:dyDescent="0.15">
      <c r="A28" s="10" t="s">
        <v>1781</v>
      </c>
      <c r="B28" s="9" t="s">
        <v>339</v>
      </c>
      <c r="C28" s="8" t="s">
        <v>1447</v>
      </c>
      <c r="D28" s="5" t="s">
        <v>1677</v>
      </c>
      <c r="E28" s="4" t="s">
        <v>91</v>
      </c>
      <c r="F28" s="4" t="s">
        <v>164</v>
      </c>
      <c r="G28" s="7">
        <v>43121</v>
      </c>
      <c r="H28" s="6"/>
      <c r="I28" s="31" t="s">
        <v>1563</v>
      </c>
      <c r="J28" s="5"/>
      <c r="K28" s="7"/>
      <c r="L28" s="6"/>
      <c r="M28" s="5"/>
      <c r="N28" s="2" t="s">
        <v>1565</v>
      </c>
      <c r="P28" s="3">
        <f>SUM(P7:P27)</f>
        <v>416</v>
      </c>
      <c r="Q28" s="3" t="b">
        <f t="shared" si="16"/>
        <v>0</v>
      </c>
      <c r="R28" s="3" t="b">
        <f t="shared" si="17"/>
        <v>0</v>
      </c>
      <c r="T28" s="3" t="b">
        <f t="shared" si="18"/>
        <v>0</v>
      </c>
      <c r="U28" s="3" t="b">
        <f t="shared" si="19"/>
        <v>0</v>
      </c>
      <c r="V28" s="3" t="b">
        <f t="shared" si="20"/>
        <v>0</v>
      </c>
      <c r="W28">
        <f t="shared" si="21"/>
        <v>0</v>
      </c>
    </row>
    <row r="29" spans="1:23" ht="33.75" x14ac:dyDescent="0.15">
      <c r="A29" s="10" t="s">
        <v>1961</v>
      </c>
      <c r="B29" s="9" t="s">
        <v>1131</v>
      </c>
      <c r="C29" s="8" t="s">
        <v>1447</v>
      </c>
      <c r="D29" s="5" t="s">
        <v>1677</v>
      </c>
      <c r="E29" s="4" t="s">
        <v>467</v>
      </c>
      <c r="F29" s="4" t="s">
        <v>311</v>
      </c>
      <c r="G29" s="7">
        <v>43121</v>
      </c>
      <c r="H29" s="6"/>
      <c r="I29" s="31" t="s">
        <v>1563</v>
      </c>
      <c r="J29" s="5"/>
      <c r="K29" s="7"/>
      <c r="L29" s="6"/>
      <c r="M29" s="5"/>
      <c r="N29" s="2" t="s">
        <v>1565</v>
      </c>
      <c r="Q29" s="3" t="b">
        <f t="shared" si="16"/>
        <v>0</v>
      </c>
      <c r="R29" s="3" t="b">
        <f t="shared" si="17"/>
        <v>0</v>
      </c>
      <c r="T29" s="3" t="b">
        <f t="shared" si="18"/>
        <v>0</v>
      </c>
      <c r="U29" s="3" t="b">
        <f t="shared" si="19"/>
        <v>0</v>
      </c>
      <c r="V29" s="3" t="b">
        <f t="shared" si="20"/>
        <v>0</v>
      </c>
      <c r="W29">
        <f t="shared" si="21"/>
        <v>0</v>
      </c>
    </row>
    <row r="30" spans="1:23" ht="33.75" x14ac:dyDescent="0.15">
      <c r="A30" s="10" t="s">
        <v>1935</v>
      </c>
      <c r="B30" s="9" t="s">
        <v>1100</v>
      </c>
      <c r="C30" s="8" t="s">
        <v>1447</v>
      </c>
      <c r="D30" s="5" t="s">
        <v>1677</v>
      </c>
      <c r="E30" s="4" t="s">
        <v>460</v>
      </c>
      <c r="F30" s="4" t="s">
        <v>270</v>
      </c>
      <c r="G30" s="7">
        <v>43121</v>
      </c>
      <c r="H30" s="6"/>
      <c r="I30" s="31" t="s">
        <v>1563</v>
      </c>
      <c r="J30" s="5"/>
      <c r="K30" s="7"/>
      <c r="L30" s="6"/>
      <c r="M30" s="5"/>
      <c r="N30" s="2" t="s">
        <v>1565</v>
      </c>
      <c r="Q30" s="3" t="b">
        <f t="shared" si="16"/>
        <v>0</v>
      </c>
      <c r="R30" s="3" t="b">
        <f t="shared" si="17"/>
        <v>0</v>
      </c>
      <c r="T30" s="3" t="b">
        <f t="shared" si="18"/>
        <v>0</v>
      </c>
      <c r="U30" s="3" t="b">
        <f t="shared" si="19"/>
        <v>0</v>
      </c>
      <c r="V30" s="3" t="b">
        <f t="shared" si="20"/>
        <v>0</v>
      </c>
      <c r="W30">
        <f t="shared" si="21"/>
        <v>0</v>
      </c>
    </row>
    <row r="31" spans="1:23" ht="33.75" x14ac:dyDescent="0.15">
      <c r="A31" s="10" t="s">
        <v>1946</v>
      </c>
      <c r="B31" s="9" t="s">
        <v>1174</v>
      </c>
      <c r="C31" s="8" t="s">
        <v>1447</v>
      </c>
      <c r="D31" s="5" t="s">
        <v>1677</v>
      </c>
      <c r="E31" s="4" t="s">
        <v>463</v>
      </c>
      <c r="F31" s="4" t="s">
        <v>226</v>
      </c>
      <c r="G31" s="7">
        <v>43121</v>
      </c>
      <c r="H31" s="6"/>
      <c r="I31" s="31" t="s">
        <v>1563</v>
      </c>
      <c r="J31" s="5"/>
      <c r="K31" s="7"/>
      <c r="L31" s="6"/>
      <c r="M31" s="5"/>
      <c r="N31" s="2" t="s">
        <v>1565</v>
      </c>
      <c r="Q31" s="3" t="b">
        <f t="shared" si="16"/>
        <v>0</v>
      </c>
      <c r="R31" s="3" t="b">
        <f t="shared" si="17"/>
        <v>0</v>
      </c>
      <c r="T31" s="3" t="b">
        <f t="shared" si="18"/>
        <v>0</v>
      </c>
      <c r="U31" s="3" t="b">
        <f t="shared" si="19"/>
        <v>0</v>
      </c>
      <c r="V31" s="3" t="b">
        <f t="shared" si="20"/>
        <v>0</v>
      </c>
      <c r="W31">
        <f t="shared" si="21"/>
        <v>0</v>
      </c>
    </row>
    <row r="32" spans="1:23" ht="33.75" x14ac:dyDescent="0.15">
      <c r="A32" s="10" t="s">
        <v>1943</v>
      </c>
      <c r="B32" s="9" t="s">
        <v>1126</v>
      </c>
      <c r="C32" s="8" t="s">
        <v>1447</v>
      </c>
      <c r="D32" s="5" t="s">
        <v>1677</v>
      </c>
      <c r="E32" s="4" t="s">
        <v>402</v>
      </c>
      <c r="F32" s="4" t="s">
        <v>228</v>
      </c>
      <c r="G32" s="7">
        <v>43121</v>
      </c>
      <c r="H32" s="6"/>
      <c r="I32" s="31" t="s">
        <v>1563</v>
      </c>
      <c r="J32" s="5"/>
      <c r="K32" s="7"/>
      <c r="L32" s="6"/>
      <c r="M32" s="5"/>
      <c r="N32" s="2" t="s">
        <v>1565</v>
      </c>
      <c r="Q32" s="3" t="b">
        <f t="shared" si="16"/>
        <v>0</v>
      </c>
      <c r="R32" s="3" t="b">
        <f t="shared" si="17"/>
        <v>0</v>
      </c>
      <c r="T32" s="3" t="b">
        <f t="shared" si="18"/>
        <v>0</v>
      </c>
      <c r="U32" s="3" t="b">
        <f t="shared" si="19"/>
        <v>0</v>
      </c>
      <c r="V32" s="3" t="b">
        <f t="shared" si="20"/>
        <v>0</v>
      </c>
      <c r="W32">
        <f t="shared" si="21"/>
        <v>0</v>
      </c>
    </row>
    <row r="33" spans="1:23" ht="25.5" x14ac:dyDescent="0.15">
      <c r="A33" s="10" t="s">
        <v>1941</v>
      </c>
      <c r="B33" s="9" t="s">
        <v>212</v>
      </c>
      <c r="C33" s="8" t="s">
        <v>1447</v>
      </c>
      <c r="D33" s="5" t="s">
        <v>659</v>
      </c>
      <c r="E33" s="4" t="s">
        <v>659</v>
      </c>
      <c r="F33" s="4" t="s">
        <v>206</v>
      </c>
      <c r="G33" s="7">
        <v>43121</v>
      </c>
      <c r="H33" s="6"/>
      <c r="I33" s="31" t="s">
        <v>1563</v>
      </c>
      <c r="J33" s="5"/>
      <c r="K33" s="7"/>
      <c r="L33" s="6"/>
      <c r="M33" s="5"/>
      <c r="N33" s="2" t="s">
        <v>1565</v>
      </c>
      <c r="Q33" s="3" t="b">
        <f t="shared" si="16"/>
        <v>0</v>
      </c>
      <c r="R33" s="3" t="b">
        <f t="shared" si="17"/>
        <v>0</v>
      </c>
      <c r="T33" s="3" t="b">
        <f t="shared" si="18"/>
        <v>0</v>
      </c>
      <c r="U33" s="3" t="b">
        <f t="shared" si="19"/>
        <v>0</v>
      </c>
      <c r="V33" s="3" t="b">
        <f t="shared" si="20"/>
        <v>0</v>
      </c>
      <c r="W33">
        <f t="shared" si="21"/>
        <v>0</v>
      </c>
    </row>
    <row r="34" spans="1:23" ht="25.5" x14ac:dyDescent="0.15">
      <c r="A34" s="10" t="s">
        <v>1955</v>
      </c>
      <c r="B34" s="9" t="s">
        <v>237</v>
      </c>
      <c r="C34" s="8" t="s">
        <v>1447</v>
      </c>
      <c r="D34" s="5" t="s">
        <v>659</v>
      </c>
      <c r="E34" s="4" t="s">
        <v>659</v>
      </c>
      <c r="F34" s="4" t="s">
        <v>222</v>
      </c>
      <c r="G34" s="7">
        <v>43121</v>
      </c>
      <c r="H34" s="6"/>
      <c r="I34" s="31" t="s">
        <v>1563</v>
      </c>
      <c r="J34" s="5"/>
      <c r="K34" s="7"/>
      <c r="L34" s="6"/>
      <c r="M34" s="5"/>
      <c r="N34" s="2" t="s">
        <v>1565</v>
      </c>
      <c r="Q34" s="3" t="b">
        <f t="shared" si="16"/>
        <v>0</v>
      </c>
      <c r="R34" s="3" t="b">
        <f t="shared" si="17"/>
        <v>0</v>
      </c>
      <c r="T34" s="3" t="b">
        <f t="shared" si="18"/>
        <v>0</v>
      </c>
      <c r="U34" s="3" t="b">
        <f t="shared" si="19"/>
        <v>0</v>
      </c>
      <c r="V34" s="3" t="b">
        <f t="shared" si="20"/>
        <v>0</v>
      </c>
      <c r="W34">
        <f t="shared" si="21"/>
        <v>0</v>
      </c>
    </row>
    <row r="35" spans="1:23" ht="25.5" x14ac:dyDescent="0.15">
      <c r="A35" s="10" t="s">
        <v>1967</v>
      </c>
      <c r="B35" s="9" t="s">
        <v>2704</v>
      </c>
      <c r="C35" s="8" t="s">
        <v>1447</v>
      </c>
      <c r="D35" s="5" t="s">
        <v>659</v>
      </c>
      <c r="E35" s="4" t="s">
        <v>659</v>
      </c>
      <c r="F35" s="4" t="s">
        <v>189</v>
      </c>
      <c r="G35" s="7">
        <v>43121</v>
      </c>
      <c r="H35" s="6"/>
      <c r="I35" s="31" t="s">
        <v>1563</v>
      </c>
      <c r="J35" s="5"/>
      <c r="K35" s="7"/>
      <c r="L35" s="6"/>
      <c r="M35" s="5"/>
      <c r="N35" s="2" t="s">
        <v>1565</v>
      </c>
      <c r="Q35" s="3" t="b">
        <f t="shared" si="16"/>
        <v>0</v>
      </c>
      <c r="R35" s="3" t="b">
        <f t="shared" si="17"/>
        <v>0</v>
      </c>
      <c r="T35" s="3" t="b">
        <f t="shared" si="18"/>
        <v>0</v>
      </c>
      <c r="U35" s="3" t="b">
        <f t="shared" si="19"/>
        <v>0</v>
      </c>
      <c r="V35" s="3" t="b">
        <f t="shared" si="20"/>
        <v>0</v>
      </c>
      <c r="W35">
        <f t="shared" si="21"/>
        <v>0</v>
      </c>
    </row>
    <row r="36" spans="1:23" ht="25.5" x14ac:dyDescent="0.15">
      <c r="A36" s="10" t="s">
        <v>2266</v>
      </c>
      <c r="B36" s="9" t="s">
        <v>2630</v>
      </c>
      <c r="C36" s="8" t="s">
        <v>1447</v>
      </c>
      <c r="D36" s="5" t="s">
        <v>659</v>
      </c>
      <c r="E36" s="4" t="s">
        <v>659</v>
      </c>
      <c r="F36" s="4" t="s">
        <v>2678</v>
      </c>
      <c r="G36" s="7">
        <v>43121</v>
      </c>
      <c r="H36" s="6"/>
      <c r="I36" s="31" t="s">
        <v>1563</v>
      </c>
      <c r="J36" s="5"/>
      <c r="K36" s="7"/>
      <c r="L36" s="6"/>
      <c r="M36" s="5"/>
      <c r="N36" s="2" t="s">
        <v>1565</v>
      </c>
      <c r="Q36" s="3" t="b">
        <f t="shared" si="16"/>
        <v>0</v>
      </c>
      <c r="R36" s="3" t="b">
        <f t="shared" si="17"/>
        <v>0</v>
      </c>
      <c r="T36" s="3" t="b">
        <f t="shared" si="18"/>
        <v>0</v>
      </c>
      <c r="U36" s="3" t="b">
        <f t="shared" si="19"/>
        <v>0</v>
      </c>
      <c r="V36" s="3" t="b">
        <f t="shared" si="20"/>
        <v>0</v>
      </c>
      <c r="W36">
        <f t="shared" si="21"/>
        <v>0</v>
      </c>
    </row>
    <row r="37" spans="1:23" ht="25.5" x14ac:dyDescent="0.15">
      <c r="A37" s="10" t="s">
        <v>2261</v>
      </c>
      <c r="B37" s="9" t="s">
        <v>159</v>
      </c>
      <c r="C37" s="8" t="s">
        <v>1447</v>
      </c>
      <c r="D37" s="5" t="s">
        <v>659</v>
      </c>
      <c r="E37" s="4" t="s">
        <v>659</v>
      </c>
      <c r="F37" s="4" t="s">
        <v>185</v>
      </c>
      <c r="G37" s="7">
        <v>43121</v>
      </c>
      <c r="H37" s="6"/>
      <c r="I37" s="31" t="s">
        <v>1563</v>
      </c>
      <c r="J37" s="5"/>
      <c r="K37" s="7"/>
      <c r="L37" s="6"/>
      <c r="M37" s="5"/>
      <c r="N37" s="2" t="s">
        <v>1565</v>
      </c>
      <c r="Q37" s="3" t="b">
        <f t="shared" si="16"/>
        <v>0</v>
      </c>
      <c r="R37" s="3" t="b">
        <f t="shared" si="17"/>
        <v>0</v>
      </c>
      <c r="T37" s="3" t="b">
        <f t="shared" si="18"/>
        <v>0</v>
      </c>
      <c r="U37" s="3" t="b">
        <f t="shared" si="19"/>
        <v>0</v>
      </c>
      <c r="V37" s="3" t="b">
        <f t="shared" si="20"/>
        <v>0</v>
      </c>
      <c r="W37">
        <f t="shared" si="21"/>
        <v>0</v>
      </c>
    </row>
    <row r="38" spans="1:23" ht="25.5" x14ac:dyDescent="0.15">
      <c r="A38" s="10" t="s">
        <v>1950</v>
      </c>
      <c r="B38" s="9" t="s">
        <v>194</v>
      </c>
      <c r="C38" s="8" t="s">
        <v>1447</v>
      </c>
      <c r="D38" s="5" t="s">
        <v>659</v>
      </c>
      <c r="E38" s="4" t="s">
        <v>659</v>
      </c>
      <c r="F38" s="4" t="s">
        <v>161</v>
      </c>
      <c r="G38" s="7">
        <v>43121</v>
      </c>
      <c r="H38" s="6"/>
      <c r="I38" s="31" t="s">
        <v>1563</v>
      </c>
      <c r="J38" s="5"/>
      <c r="K38" s="7"/>
      <c r="L38" s="6"/>
      <c r="M38" s="5"/>
      <c r="N38" s="2" t="s">
        <v>1565</v>
      </c>
      <c r="Q38" s="3" t="b">
        <f t="shared" si="16"/>
        <v>0</v>
      </c>
      <c r="R38" s="3" t="b">
        <f t="shared" si="17"/>
        <v>0</v>
      </c>
      <c r="T38" s="3" t="b">
        <f t="shared" si="18"/>
        <v>0</v>
      </c>
      <c r="U38" s="3" t="b">
        <f t="shared" si="19"/>
        <v>0</v>
      </c>
      <c r="V38" s="3" t="b">
        <f t="shared" si="20"/>
        <v>0</v>
      </c>
      <c r="W38">
        <f t="shared" si="21"/>
        <v>0</v>
      </c>
    </row>
    <row r="39" spans="1:23" ht="25.5" x14ac:dyDescent="0.15">
      <c r="A39" s="10" t="s">
        <v>1845</v>
      </c>
      <c r="B39" s="9" t="s">
        <v>319</v>
      </c>
      <c r="C39" s="8" t="s">
        <v>1447</v>
      </c>
      <c r="D39" s="5" t="s">
        <v>659</v>
      </c>
      <c r="E39" s="4" t="s">
        <v>659</v>
      </c>
      <c r="F39" s="4" t="s">
        <v>148</v>
      </c>
      <c r="G39" s="7">
        <v>43121</v>
      </c>
      <c r="H39" s="6"/>
      <c r="I39" s="31" t="s">
        <v>1563</v>
      </c>
      <c r="J39" s="5"/>
      <c r="K39" s="7"/>
      <c r="L39" s="6"/>
      <c r="M39" s="5"/>
      <c r="N39" s="2" t="s">
        <v>1565</v>
      </c>
      <c r="Q39" s="3" t="b">
        <f t="shared" si="16"/>
        <v>0</v>
      </c>
      <c r="R39" s="3" t="b">
        <f t="shared" si="17"/>
        <v>0</v>
      </c>
      <c r="T39" s="3" t="b">
        <f t="shared" si="18"/>
        <v>0</v>
      </c>
      <c r="U39" s="3" t="b">
        <f t="shared" si="19"/>
        <v>0</v>
      </c>
      <c r="V39" s="3" t="b">
        <f t="shared" si="20"/>
        <v>0</v>
      </c>
      <c r="W39">
        <f t="shared" si="21"/>
        <v>0</v>
      </c>
    </row>
    <row r="40" spans="1:23" ht="25.5" x14ac:dyDescent="0.15">
      <c r="A40" s="10" t="s">
        <v>2283</v>
      </c>
      <c r="B40" s="9" t="s">
        <v>2708</v>
      </c>
      <c r="C40" s="8" t="s">
        <v>1447</v>
      </c>
      <c r="D40" s="5" t="s">
        <v>659</v>
      </c>
      <c r="E40" s="4" t="s">
        <v>659</v>
      </c>
      <c r="F40" s="4" t="s">
        <v>187</v>
      </c>
      <c r="G40" s="7">
        <v>43121</v>
      </c>
      <c r="H40" s="6"/>
      <c r="I40" s="31" t="s">
        <v>1563</v>
      </c>
      <c r="J40" s="5"/>
      <c r="K40" s="7"/>
      <c r="L40" s="6"/>
      <c r="M40" s="5"/>
      <c r="N40" s="2" t="s">
        <v>1565</v>
      </c>
      <c r="Q40" s="3" t="b">
        <f t="shared" si="16"/>
        <v>0</v>
      </c>
      <c r="R40" s="3" t="b">
        <f t="shared" si="17"/>
        <v>0</v>
      </c>
      <c r="T40" s="3" t="b">
        <f t="shared" si="18"/>
        <v>0</v>
      </c>
      <c r="U40" s="3" t="b">
        <f t="shared" si="19"/>
        <v>0</v>
      </c>
      <c r="V40" s="3" t="b">
        <f t="shared" si="20"/>
        <v>0</v>
      </c>
      <c r="W40">
        <f t="shared" si="21"/>
        <v>0</v>
      </c>
    </row>
    <row r="41" spans="1:23" ht="22.5" x14ac:dyDescent="0.15">
      <c r="A41" s="16" t="s">
        <v>935</v>
      </c>
      <c r="B41" s="129" t="s">
        <v>883</v>
      </c>
      <c r="C41" s="130"/>
      <c r="D41" s="15" t="s">
        <v>1011</v>
      </c>
      <c r="E41" s="14" t="s">
        <v>1337</v>
      </c>
      <c r="F41" s="13" t="s">
        <v>2495</v>
      </c>
      <c r="G41" s="131" t="s">
        <v>837</v>
      </c>
      <c r="H41" s="132"/>
      <c r="I41" s="132"/>
      <c r="J41" s="132"/>
      <c r="K41" s="132"/>
      <c r="L41" s="132"/>
      <c r="M41" s="133"/>
    </row>
    <row r="42" spans="1:23" x14ac:dyDescent="0.15">
      <c r="A42" s="134" t="s">
        <v>977</v>
      </c>
      <c r="B42" s="136" t="s">
        <v>920</v>
      </c>
      <c r="C42" s="138" t="s">
        <v>1008</v>
      </c>
      <c r="D42" s="140" t="s">
        <v>1009</v>
      </c>
      <c r="E42" s="142" t="s">
        <v>2118</v>
      </c>
      <c r="F42" s="142" t="s">
        <v>1849</v>
      </c>
      <c r="G42" s="144" t="s">
        <v>994</v>
      </c>
      <c r="H42" s="145"/>
      <c r="I42" s="145"/>
      <c r="J42" s="146"/>
      <c r="K42" s="144" t="s">
        <v>982</v>
      </c>
      <c r="L42" s="145"/>
      <c r="M42" s="147"/>
    </row>
    <row r="43" spans="1:23" x14ac:dyDescent="0.15">
      <c r="A43" s="135"/>
      <c r="B43" s="137"/>
      <c r="C43" s="139"/>
      <c r="D43" s="141"/>
      <c r="E43" s="143"/>
      <c r="F43" s="143"/>
      <c r="G43" s="12" t="s">
        <v>1588</v>
      </c>
      <c r="H43" s="12" t="s">
        <v>1578</v>
      </c>
      <c r="I43" s="12" t="s">
        <v>1562</v>
      </c>
      <c r="J43" s="12" t="s">
        <v>1007</v>
      </c>
      <c r="K43" s="12" t="s">
        <v>1588</v>
      </c>
      <c r="L43" s="12" t="s">
        <v>1578</v>
      </c>
      <c r="M43" s="11" t="s">
        <v>1562</v>
      </c>
    </row>
    <row r="44" spans="1:23" ht="25.5" x14ac:dyDescent="0.15">
      <c r="A44" s="10" t="s">
        <v>2327</v>
      </c>
      <c r="B44" s="9" t="s">
        <v>2706</v>
      </c>
      <c r="C44" s="8" t="s">
        <v>1447</v>
      </c>
      <c r="D44" s="5"/>
      <c r="E44" s="4"/>
      <c r="F44" s="4"/>
      <c r="G44" s="7">
        <v>43112</v>
      </c>
      <c r="H44" s="6"/>
      <c r="I44" s="31" t="s">
        <v>1580</v>
      </c>
      <c r="J44" s="5"/>
      <c r="K44" s="7"/>
      <c r="L44" s="6"/>
      <c r="M44" s="5"/>
      <c r="N44" s="2" t="s">
        <v>1568</v>
      </c>
      <c r="Q44" s="3" t="b">
        <f t="shared" ref="Q44:Q47" si="22">IF($Q$6&gt;=G44,0)</f>
        <v>0</v>
      </c>
      <c r="R44" s="3" t="b">
        <f t="shared" ref="R44:R47" si="23">IF($R$6&gt;=G44,0)</f>
        <v>0</v>
      </c>
      <c r="T44" s="3" t="b">
        <f t="shared" ref="T44:T47" si="24">IF($T$6&gt;=G44,0)</f>
        <v>0</v>
      </c>
      <c r="U44" s="3" t="b">
        <f t="shared" ref="U44:U47" si="25">IF($U$6&gt;=G44,0)</f>
        <v>0</v>
      </c>
      <c r="V44" s="3">
        <f t="shared" ref="V44:V47" si="26">IF($V$6&gt;=G44,0)</f>
        <v>0</v>
      </c>
      <c r="W44">
        <f t="shared" ref="W44:W47" si="27">IF($W$6&gt;=G44,0)</f>
        <v>0</v>
      </c>
    </row>
    <row r="45" spans="1:23" ht="25.5" x14ac:dyDescent="0.15">
      <c r="A45" s="10" t="s">
        <v>1758</v>
      </c>
      <c r="B45" s="9" t="s">
        <v>2673</v>
      </c>
      <c r="C45" s="8" t="s">
        <v>1447</v>
      </c>
      <c r="D45" s="5"/>
      <c r="E45" s="4"/>
      <c r="F45" s="4"/>
      <c r="G45" s="7">
        <v>43112</v>
      </c>
      <c r="H45" s="6"/>
      <c r="I45" s="31" t="s">
        <v>1580</v>
      </c>
      <c r="J45" s="5"/>
      <c r="K45" s="7"/>
      <c r="L45" s="6"/>
      <c r="M45" s="5"/>
      <c r="N45" s="2" t="s">
        <v>1568</v>
      </c>
      <c r="Q45" s="3" t="b">
        <f t="shared" si="22"/>
        <v>0</v>
      </c>
      <c r="R45" s="3" t="b">
        <f t="shared" si="23"/>
        <v>0</v>
      </c>
      <c r="T45" s="3" t="b">
        <f t="shared" si="24"/>
        <v>0</v>
      </c>
      <c r="U45" s="3" t="b">
        <f t="shared" si="25"/>
        <v>0</v>
      </c>
      <c r="V45" s="3">
        <f t="shared" si="26"/>
        <v>0</v>
      </c>
      <c r="W45">
        <f t="shared" si="27"/>
        <v>0</v>
      </c>
    </row>
    <row r="46" spans="1:23" ht="25.5" x14ac:dyDescent="0.15">
      <c r="A46" s="10" t="s">
        <v>2328</v>
      </c>
      <c r="B46" s="9" t="s">
        <v>491</v>
      </c>
      <c r="C46" s="8" t="s">
        <v>1447</v>
      </c>
      <c r="D46" s="5"/>
      <c r="E46" s="4"/>
      <c r="F46" s="4"/>
      <c r="G46" s="7">
        <v>43112</v>
      </c>
      <c r="H46" s="6"/>
      <c r="I46" s="31" t="s">
        <v>1580</v>
      </c>
      <c r="J46" s="5"/>
      <c r="K46" s="7"/>
      <c r="L46" s="6"/>
      <c r="M46" s="5"/>
      <c r="N46" s="2" t="s">
        <v>1568</v>
      </c>
      <c r="Q46" s="3" t="b">
        <f t="shared" si="22"/>
        <v>0</v>
      </c>
      <c r="R46" s="3" t="b">
        <f t="shared" si="23"/>
        <v>0</v>
      </c>
      <c r="T46" s="3" t="b">
        <f t="shared" si="24"/>
        <v>0</v>
      </c>
      <c r="U46" s="3" t="b">
        <f t="shared" si="25"/>
        <v>0</v>
      </c>
      <c r="V46" s="3">
        <f t="shared" si="26"/>
        <v>0</v>
      </c>
      <c r="W46">
        <f t="shared" si="27"/>
        <v>0</v>
      </c>
    </row>
    <row r="47" spans="1:23" ht="25.5" x14ac:dyDescent="0.15">
      <c r="A47" s="10" t="s">
        <v>1652</v>
      </c>
      <c r="B47" s="9" t="s">
        <v>1092</v>
      </c>
      <c r="C47" s="8" t="s">
        <v>1447</v>
      </c>
      <c r="D47" s="5"/>
      <c r="E47" s="4"/>
      <c r="F47" s="4"/>
      <c r="G47" s="7">
        <v>43112</v>
      </c>
      <c r="H47" s="6"/>
      <c r="I47" s="31" t="s">
        <v>1580</v>
      </c>
      <c r="J47" s="5"/>
      <c r="K47" s="7"/>
      <c r="L47" s="6"/>
      <c r="M47" s="5"/>
      <c r="N47" s="2" t="s">
        <v>1568</v>
      </c>
      <c r="Q47" s="3" t="b">
        <f t="shared" si="22"/>
        <v>0</v>
      </c>
      <c r="R47" s="3" t="b">
        <f t="shared" si="23"/>
        <v>0</v>
      </c>
      <c r="T47" s="3" t="b">
        <f t="shared" si="24"/>
        <v>0</v>
      </c>
      <c r="U47" s="3" t="b">
        <f t="shared" si="25"/>
        <v>0</v>
      </c>
      <c r="V47" s="3">
        <f t="shared" si="26"/>
        <v>0</v>
      </c>
      <c r="W47">
        <f t="shared" si="27"/>
        <v>0</v>
      </c>
    </row>
    <row r="48" spans="1:23" ht="15" customHeight="1" x14ac:dyDescent="0.15">
      <c r="A48" s="16" t="s">
        <v>935</v>
      </c>
      <c r="B48" s="129" t="s">
        <v>620</v>
      </c>
      <c r="C48" s="130"/>
      <c r="D48" s="15" t="s">
        <v>1011</v>
      </c>
      <c r="E48" s="14" t="s">
        <v>730</v>
      </c>
      <c r="F48" s="13" t="s">
        <v>2495</v>
      </c>
      <c r="G48" s="131" t="s">
        <v>822</v>
      </c>
      <c r="H48" s="132"/>
      <c r="I48" s="132"/>
      <c r="J48" s="132"/>
      <c r="K48" s="132"/>
      <c r="L48" s="132"/>
      <c r="M48" s="133"/>
    </row>
    <row r="49" spans="1:23" x14ac:dyDescent="0.15">
      <c r="A49" s="134" t="s">
        <v>977</v>
      </c>
      <c r="B49" s="136" t="s">
        <v>920</v>
      </c>
      <c r="C49" s="138" t="s">
        <v>1008</v>
      </c>
      <c r="D49" s="140" t="s">
        <v>1009</v>
      </c>
      <c r="E49" s="142" t="s">
        <v>2118</v>
      </c>
      <c r="F49" s="142" t="s">
        <v>1849</v>
      </c>
      <c r="G49" s="144" t="s">
        <v>994</v>
      </c>
      <c r="H49" s="145"/>
      <c r="I49" s="145"/>
      <c r="J49" s="146"/>
      <c r="K49" s="144" t="s">
        <v>982</v>
      </c>
      <c r="L49" s="145"/>
      <c r="M49" s="147"/>
    </row>
    <row r="50" spans="1:23" x14ac:dyDescent="0.15">
      <c r="A50" s="135"/>
      <c r="B50" s="137"/>
      <c r="C50" s="139"/>
      <c r="D50" s="141"/>
      <c r="E50" s="143"/>
      <c r="F50" s="143"/>
      <c r="G50" s="12" t="s">
        <v>1588</v>
      </c>
      <c r="H50" s="12" t="s">
        <v>1578</v>
      </c>
      <c r="I50" s="12" t="s">
        <v>1562</v>
      </c>
      <c r="J50" s="12" t="s">
        <v>1007</v>
      </c>
      <c r="K50" s="12" t="s">
        <v>1588</v>
      </c>
      <c r="L50" s="12" t="s">
        <v>1578</v>
      </c>
      <c r="M50" s="11" t="s">
        <v>1562</v>
      </c>
    </row>
    <row r="51" spans="1:23" x14ac:dyDescent="0.15">
      <c r="A51" s="10" t="s">
        <v>2234</v>
      </c>
      <c r="B51" s="9" t="s">
        <v>2728</v>
      </c>
      <c r="C51" s="8" t="s">
        <v>1003</v>
      </c>
      <c r="D51" s="5"/>
      <c r="E51" s="4"/>
      <c r="F51" s="4"/>
      <c r="G51" s="7">
        <v>43119</v>
      </c>
      <c r="H51" s="6"/>
      <c r="I51" s="31" t="s">
        <v>1580</v>
      </c>
      <c r="J51" s="5"/>
      <c r="K51" s="7"/>
      <c r="L51" s="6"/>
      <c r="M51" s="5"/>
      <c r="N51" s="2" t="s">
        <v>1586</v>
      </c>
      <c r="Q51" s="3" t="b">
        <f>IF($Q$6&gt;=G51,0)</f>
        <v>0</v>
      </c>
      <c r="R51" s="3" t="b">
        <f>IF($R$6&gt;=G51,0)</f>
        <v>0</v>
      </c>
      <c r="T51" s="3" t="b">
        <f>IF($T$6&gt;=G51,0)</f>
        <v>0</v>
      </c>
      <c r="U51" s="3" t="b">
        <f>IF($U$6&gt;=G51,0)</f>
        <v>0</v>
      </c>
      <c r="V51" s="3">
        <f>IF($V$6&gt;=G51,0)</f>
        <v>0</v>
      </c>
      <c r="W51">
        <f>IF($W$6&gt;=G51,0)</f>
        <v>0</v>
      </c>
    </row>
    <row r="52" spans="1:23" ht="15" customHeight="1" x14ac:dyDescent="0.15">
      <c r="A52" s="16" t="s">
        <v>935</v>
      </c>
      <c r="B52" s="129" t="s">
        <v>1410</v>
      </c>
      <c r="C52" s="130"/>
      <c r="D52" s="15" t="s">
        <v>1011</v>
      </c>
      <c r="E52" s="14" t="s">
        <v>1203</v>
      </c>
      <c r="F52" s="13" t="s">
        <v>2495</v>
      </c>
      <c r="G52" s="131" t="s">
        <v>570</v>
      </c>
      <c r="H52" s="132"/>
      <c r="I52" s="132"/>
      <c r="J52" s="132"/>
      <c r="K52" s="132"/>
      <c r="L52" s="132"/>
      <c r="M52" s="133"/>
    </row>
    <row r="53" spans="1:23" x14ac:dyDescent="0.15">
      <c r="A53" s="134" t="s">
        <v>977</v>
      </c>
      <c r="B53" s="136" t="s">
        <v>920</v>
      </c>
      <c r="C53" s="138" t="s">
        <v>1008</v>
      </c>
      <c r="D53" s="140" t="s">
        <v>1009</v>
      </c>
      <c r="E53" s="142" t="s">
        <v>2118</v>
      </c>
      <c r="F53" s="142" t="s">
        <v>1849</v>
      </c>
      <c r="G53" s="144" t="s">
        <v>994</v>
      </c>
      <c r="H53" s="145"/>
      <c r="I53" s="145"/>
      <c r="J53" s="146"/>
      <c r="K53" s="144" t="s">
        <v>982</v>
      </c>
      <c r="L53" s="145"/>
      <c r="M53" s="147"/>
    </row>
    <row r="54" spans="1:23" x14ac:dyDescent="0.15">
      <c r="A54" s="135"/>
      <c r="B54" s="137"/>
      <c r="C54" s="139"/>
      <c r="D54" s="141"/>
      <c r="E54" s="143"/>
      <c r="F54" s="143"/>
      <c r="G54" s="12" t="s">
        <v>1588</v>
      </c>
      <c r="H54" s="12" t="s">
        <v>1578</v>
      </c>
      <c r="I54" s="12" t="s">
        <v>1562</v>
      </c>
      <c r="J54" s="12" t="s">
        <v>1007</v>
      </c>
      <c r="K54" s="12" t="s">
        <v>1588</v>
      </c>
      <c r="L54" s="12" t="s">
        <v>1578</v>
      </c>
      <c r="M54" s="11" t="s">
        <v>1562</v>
      </c>
    </row>
    <row r="55" spans="1:23" x14ac:dyDescent="0.15">
      <c r="A55" s="10" t="s">
        <v>2089</v>
      </c>
      <c r="B55" s="9" t="s">
        <v>2729</v>
      </c>
      <c r="C55" s="8" t="s">
        <v>1003</v>
      </c>
      <c r="D55" s="5"/>
      <c r="E55" s="4"/>
      <c r="F55" s="4"/>
      <c r="G55" s="7">
        <v>43119</v>
      </c>
      <c r="H55" s="6"/>
      <c r="I55" s="31" t="s">
        <v>1580</v>
      </c>
      <c r="J55" s="5"/>
      <c r="K55" s="7"/>
      <c r="L55" s="6"/>
      <c r="M55" s="5"/>
      <c r="N55" s="2" t="s">
        <v>1586</v>
      </c>
      <c r="Q55" s="3" t="b">
        <f>IF($Q$6&gt;=G55,0)</f>
        <v>0</v>
      </c>
      <c r="R55" s="3" t="b">
        <f>IF($R$6&gt;=G55,0)</f>
        <v>0</v>
      </c>
      <c r="T55" s="3" t="b">
        <f>IF($T$6&gt;=G55,0)</f>
        <v>0</v>
      </c>
      <c r="U55" s="3" t="b">
        <f>IF($U$6&gt;=G55,0)</f>
        <v>0</v>
      </c>
      <c r="V55" s="3">
        <f>IF($V$6&gt;=G55,0)</f>
        <v>0</v>
      </c>
      <c r="W55">
        <f>IF($W$6&gt;=G55,0)</f>
        <v>0</v>
      </c>
    </row>
    <row r="56" spans="1:23" ht="15" customHeight="1" x14ac:dyDescent="0.15">
      <c r="A56" s="16" t="s">
        <v>935</v>
      </c>
      <c r="B56" s="129" t="s">
        <v>140</v>
      </c>
      <c r="C56" s="130"/>
      <c r="D56" s="15" t="s">
        <v>1011</v>
      </c>
      <c r="E56" s="14" t="s">
        <v>1315</v>
      </c>
      <c r="F56" s="13" t="s">
        <v>2495</v>
      </c>
      <c r="G56" s="131" t="s">
        <v>82</v>
      </c>
      <c r="H56" s="132"/>
      <c r="I56" s="132"/>
      <c r="J56" s="132"/>
      <c r="K56" s="132"/>
      <c r="L56" s="132"/>
      <c r="M56" s="133"/>
    </row>
    <row r="57" spans="1:23" x14ac:dyDescent="0.15">
      <c r="A57" s="134" t="s">
        <v>977</v>
      </c>
      <c r="B57" s="136" t="s">
        <v>920</v>
      </c>
      <c r="C57" s="138" t="s">
        <v>1008</v>
      </c>
      <c r="D57" s="140" t="s">
        <v>1009</v>
      </c>
      <c r="E57" s="142" t="s">
        <v>2118</v>
      </c>
      <c r="F57" s="142" t="s">
        <v>1849</v>
      </c>
      <c r="G57" s="144" t="s">
        <v>994</v>
      </c>
      <c r="H57" s="145"/>
      <c r="I57" s="145"/>
      <c r="J57" s="146"/>
      <c r="K57" s="144" t="s">
        <v>982</v>
      </c>
      <c r="L57" s="145"/>
      <c r="M57" s="147"/>
    </row>
    <row r="58" spans="1:23" x14ac:dyDescent="0.15">
      <c r="A58" s="135"/>
      <c r="B58" s="137"/>
      <c r="C58" s="139"/>
      <c r="D58" s="141"/>
      <c r="E58" s="143"/>
      <c r="F58" s="143"/>
      <c r="G58" s="12" t="s">
        <v>1588</v>
      </c>
      <c r="H58" s="12" t="s">
        <v>1578</v>
      </c>
      <c r="I58" s="12" t="s">
        <v>1562</v>
      </c>
      <c r="J58" s="12" t="s">
        <v>1007</v>
      </c>
      <c r="K58" s="12" t="s">
        <v>1588</v>
      </c>
      <c r="L58" s="12" t="s">
        <v>1578</v>
      </c>
      <c r="M58" s="11" t="s">
        <v>1562</v>
      </c>
    </row>
    <row r="59" spans="1:23" x14ac:dyDescent="0.15">
      <c r="A59" s="10" t="s">
        <v>2198</v>
      </c>
      <c r="B59" s="9" t="s">
        <v>2730</v>
      </c>
      <c r="C59" s="8" t="s">
        <v>1003</v>
      </c>
      <c r="D59" s="5"/>
      <c r="E59" s="4"/>
      <c r="F59" s="4"/>
      <c r="G59" s="7">
        <v>43119</v>
      </c>
      <c r="H59" s="6"/>
      <c r="I59" s="31" t="s">
        <v>1580</v>
      </c>
      <c r="J59" s="5"/>
      <c r="K59" s="7"/>
      <c r="L59" s="6"/>
      <c r="M59" s="5"/>
      <c r="N59" s="2" t="s">
        <v>1586</v>
      </c>
      <c r="Q59" s="3" t="b">
        <f>IF($Q$6&gt;=G59,0)</f>
        <v>0</v>
      </c>
      <c r="R59" s="3" t="b">
        <f>IF($R$6&gt;=G59,0)</f>
        <v>0</v>
      </c>
      <c r="T59" s="3" t="b">
        <f>IF($T$6&gt;=G59,0)</f>
        <v>0</v>
      </c>
      <c r="U59" s="3" t="b">
        <f>IF($U$6&gt;=G59,0)</f>
        <v>0</v>
      </c>
      <c r="V59" s="3">
        <f>IF($V$6&gt;=G59,0)</f>
        <v>0</v>
      </c>
      <c r="W59">
        <f>IF($W$6&gt;=G59,0)</f>
        <v>0</v>
      </c>
    </row>
    <row r="60" spans="1:23" ht="22.5" x14ac:dyDescent="0.15">
      <c r="A60" s="16" t="s">
        <v>935</v>
      </c>
      <c r="B60" s="129" t="s">
        <v>1486</v>
      </c>
      <c r="C60" s="130"/>
      <c r="D60" s="15" t="s">
        <v>1011</v>
      </c>
      <c r="E60" s="14" t="s">
        <v>517</v>
      </c>
      <c r="F60" s="13" t="s">
        <v>2495</v>
      </c>
      <c r="G60" s="131" t="s">
        <v>1509</v>
      </c>
      <c r="H60" s="132"/>
      <c r="I60" s="132"/>
      <c r="J60" s="132"/>
      <c r="K60" s="132"/>
      <c r="L60" s="132"/>
      <c r="M60" s="133"/>
    </row>
    <row r="61" spans="1:23" x14ac:dyDescent="0.15">
      <c r="A61" s="134" t="s">
        <v>977</v>
      </c>
      <c r="B61" s="136" t="s">
        <v>920</v>
      </c>
      <c r="C61" s="138" t="s">
        <v>1008</v>
      </c>
      <c r="D61" s="140" t="s">
        <v>1009</v>
      </c>
      <c r="E61" s="142" t="s">
        <v>2118</v>
      </c>
      <c r="F61" s="142" t="s">
        <v>1849</v>
      </c>
      <c r="G61" s="144" t="s">
        <v>994</v>
      </c>
      <c r="H61" s="145"/>
      <c r="I61" s="145"/>
      <c r="J61" s="146"/>
      <c r="K61" s="144" t="s">
        <v>982</v>
      </c>
      <c r="L61" s="145"/>
      <c r="M61" s="147"/>
    </row>
    <row r="62" spans="1:23" x14ac:dyDescent="0.15">
      <c r="A62" s="135"/>
      <c r="B62" s="137"/>
      <c r="C62" s="139"/>
      <c r="D62" s="141"/>
      <c r="E62" s="143"/>
      <c r="F62" s="143"/>
      <c r="G62" s="12" t="s">
        <v>1588</v>
      </c>
      <c r="H62" s="12" t="s">
        <v>1578</v>
      </c>
      <c r="I62" s="12" t="s">
        <v>1562</v>
      </c>
      <c r="J62" s="12" t="s">
        <v>1007</v>
      </c>
      <c r="K62" s="12" t="s">
        <v>1588</v>
      </c>
      <c r="L62" s="12" t="s">
        <v>1578</v>
      </c>
      <c r="M62" s="11" t="s">
        <v>1562</v>
      </c>
    </row>
    <row r="63" spans="1:23" x14ac:dyDescent="0.15">
      <c r="A63" s="10" t="s">
        <v>2344</v>
      </c>
      <c r="B63" s="9" t="s">
        <v>112</v>
      </c>
      <c r="C63" s="8" t="s">
        <v>1003</v>
      </c>
      <c r="D63" s="5"/>
      <c r="E63" s="4"/>
      <c r="F63" s="4"/>
      <c r="G63" s="7">
        <v>43105</v>
      </c>
      <c r="H63" s="6"/>
      <c r="I63" s="5" t="s">
        <v>1596</v>
      </c>
      <c r="J63" s="5"/>
      <c r="K63" s="7"/>
      <c r="L63" s="6"/>
      <c r="M63" s="5"/>
      <c r="N63" s="2" t="s">
        <v>1565</v>
      </c>
      <c r="Q63" s="3" t="b">
        <f t="shared" ref="Q63:Q64" si="28">IF($Q$6&gt;=G63,0)</f>
        <v>0</v>
      </c>
      <c r="R63" s="3" t="b">
        <f t="shared" ref="R63:R64" si="29">IF($R$6&gt;=G63,0)</f>
        <v>0</v>
      </c>
      <c r="T63" s="3" t="b">
        <f t="shared" ref="T63:T64" si="30">IF($T$6&gt;=G63,0)</f>
        <v>0</v>
      </c>
      <c r="U63" s="3">
        <f t="shared" ref="U63:U64" si="31">IF($U$6&gt;=G63,0)</f>
        <v>0</v>
      </c>
      <c r="V63" s="3">
        <f t="shared" ref="V63:V64" si="32">IF($V$6&gt;=G63,0)</f>
        <v>0</v>
      </c>
      <c r="W63">
        <f t="shared" ref="W63:W64" si="33">IF($W$6&gt;=G63,0)</f>
        <v>0</v>
      </c>
    </row>
    <row r="64" spans="1:23" x14ac:dyDescent="0.15">
      <c r="A64" s="10" t="s">
        <v>1699</v>
      </c>
      <c r="B64" s="9" t="s">
        <v>1393</v>
      </c>
      <c r="C64" s="8" t="s">
        <v>1003</v>
      </c>
      <c r="D64" s="5"/>
      <c r="E64" s="4"/>
      <c r="F64" s="4"/>
      <c r="G64" s="7">
        <v>43105</v>
      </c>
      <c r="H64" s="6"/>
      <c r="I64" s="5" t="s">
        <v>1596</v>
      </c>
      <c r="J64" s="5"/>
      <c r="K64" s="7"/>
      <c r="L64" s="6"/>
      <c r="M64" s="5"/>
      <c r="N64" s="2" t="s">
        <v>1565</v>
      </c>
      <c r="Q64" s="3" t="b">
        <f t="shared" si="28"/>
        <v>0</v>
      </c>
      <c r="R64" s="3" t="b">
        <f t="shared" si="29"/>
        <v>0</v>
      </c>
      <c r="T64" s="3" t="b">
        <f t="shared" si="30"/>
        <v>0</v>
      </c>
      <c r="U64" s="3">
        <f t="shared" si="31"/>
        <v>0</v>
      </c>
      <c r="V64" s="3">
        <f t="shared" si="32"/>
        <v>0</v>
      </c>
      <c r="W64">
        <f t="shared" si="33"/>
        <v>0</v>
      </c>
    </row>
    <row r="65" spans="1:23" ht="15" customHeight="1" x14ac:dyDescent="0.15">
      <c r="A65" s="16" t="s">
        <v>935</v>
      </c>
      <c r="B65" s="129" t="s">
        <v>1536</v>
      </c>
      <c r="C65" s="130"/>
      <c r="D65" s="15" t="s">
        <v>1011</v>
      </c>
      <c r="E65" s="14" t="s">
        <v>1367</v>
      </c>
      <c r="F65" s="13" t="s">
        <v>2495</v>
      </c>
      <c r="G65" s="131" t="s">
        <v>679</v>
      </c>
      <c r="H65" s="132"/>
      <c r="I65" s="132"/>
      <c r="J65" s="132"/>
      <c r="K65" s="132"/>
      <c r="L65" s="132"/>
      <c r="M65" s="133"/>
    </row>
    <row r="66" spans="1:23" x14ac:dyDescent="0.15">
      <c r="A66" s="134" t="s">
        <v>977</v>
      </c>
      <c r="B66" s="136" t="s">
        <v>920</v>
      </c>
      <c r="C66" s="138" t="s">
        <v>1008</v>
      </c>
      <c r="D66" s="140" t="s">
        <v>1009</v>
      </c>
      <c r="E66" s="142" t="s">
        <v>2118</v>
      </c>
      <c r="F66" s="142" t="s">
        <v>1849</v>
      </c>
      <c r="G66" s="144" t="s">
        <v>994</v>
      </c>
      <c r="H66" s="145"/>
      <c r="I66" s="145"/>
      <c r="J66" s="146"/>
      <c r="K66" s="144" t="s">
        <v>982</v>
      </c>
      <c r="L66" s="145"/>
      <c r="M66" s="147"/>
    </row>
    <row r="67" spans="1:23" x14ac:dyDescent="0.15">
      <c r="A67" s="135"/>
      <c r="B67" s="137"/>
      <c r="C67" s="139"/>
      <c r="D67" s="141"/>
      <c r="E67" s="143"/>
      <c r="F67" s="143"/>
      <c r="G67" s="12" t="s">
        <v>1588</v>
      </c>
      <c r="H67" s="12" t="s">
        <v>1578</v>
      </c>
      <c r="I67" s="12" t="s">
        <v>1562</v>
      </c>
      <c r="J67" s="12" t="s">
        <v>1007</v>
      </c>
      <c r="K67" s="12" t="s">
        <v>1588</v>
      </c>
      <c r="L67" s="12" t="s">
        <v>1578</v>
      </c>
      <c r="M67" s="11" t="s">
        <v>1562</v>
      </c>
    </row>
    <row r="68" spans="1:23" x14ac:dyDescent="0.15">
      <c r="A68" s="10" t="s">
        <v>1667</v>
      </c>
      <c r="B68" s="9" t="s">
        <v>107</v>
      </c>
      <c r="C68" s="8" t="s">
        <v>1003</v>
      </c>
      <c r="D68" s="5"/>
      <c r="E68" s="4"/>
      <c r="F68" s="4"/>
      <c r="G68" s="7">
        <v>43105</v>
      </c>
      <c r="H68" s="6"/>
      <c r="I68" s="5" t="s">
        <v>1596</v>
      </c>
      <c r="J68" s="5"/>
      <c r="K68" s="7"/>
      <c r="L68" s="6"/>
      <c r="M68" s="5"/>
      <c r="N68" s="2" t="s">
        <v>1565</v>
      </c>
      <c r="Q68" s="3" t="b">
        <f>IF($Q$6&gt;=G68,0)</f>
        <v>0</v>
      </c>
      <c r="R68" s="3" t="b">
        <f>IF($R$6&gt;=G68,0)</f>
        <v>0</v>
      </c>
      <c r="T68" s="3" t="b">
        <f>IF($T$6&gt;=G68,0)</f>
        <v>0</v>
      </c>
      <c r="U68" s="3">
        <f>IF($U$6&gt;=G68,0)</f>
        <v>0</v>
      </c>
      <c r="V68" s="3">
        <f>IF($V$6&gt;=G68,0)</f>
        <v>0</v>
      </c>
      <c r="W68">
        <f>IF($W$6&gt;=G68,0)</f>
        <v>0</v>
      </c>
    </row>
    <row r="69" spans="1:23" ht="15" customHeight="1" x14ac:dyDescent="0.15">
      <c r="A69" s="16" t="s">
        <v>935</v>
      </c>
      <c r="B69" s="129" t="s">
        <v>1407</v>
      </c>
      <c r="C69" s="130"/>
      <c r="D69" s="15" t="s">
        <v>1011</v>
      </c>
      <c r="E69" s="14" t="s">
        <v>1328</v>
      </c>
      <c r="F69" s="13" t="s">
        <v>2495</v>
      </c>
      <c r="G69" s="131" t="s">
        <v>553</v>
      </c>
      <c r="H69" s="132"/>
      <c r="I69" s="132"/>
      <c r="J69" s="132"/>
      <c r="K69" s="132"/>
      <c r="L69" s="132"/>
      <c r="M69" s="133"/>
    </row>
    <row r="70" spans="1:23" x14ac:dyDescent="0.15">
      <c r="A70" s="134" t="s">
        <v>977</v>
      </c>
      <c r="B70" s="136" t="s">
        <v>920</v>
      </c>
      <c r="C70" s="138" t="s">
        <v>1008</v>
      </c>
      <c r="D70" s="140" t="s">
        <v>1009</v>
      </c>
      <c r="E70" s="142" t="s">
        <v>2118</v>
      </c>
      <c r="F70" s="142" t="s">
        <v>1849</v>
      </c>
      <c r="G70" s="144" t="s">
        <v>994</v>
      </c>
      <c r="H70" s="145"/>
      <c r="I70" s="145"/>
      <c r="J70" s="146"/>
      <c r="K70" s="144" t="s">
        <v>982</v>
      </c>
      <c r="L70" s="145"/>
      <c r="M70" s="147"/>
    </row>
    <row r="71" spans="1:23" x14ac:dyDescent="0.15">
      <c r="A71" s="135"/>
      <c r="B71" s="137"/>
      <c r="C71" s="139"/>
      <c r="D71" s="141"/>
      <c r="E71" s="143"/>
      <c r="F71" s="143"/>
      <c r="G71" s="12" t="s">
        <v>1588</v>
      </c>
      <c r="H71" s="12" t="s">
        <v>1578</v>
      </c>
      <c r="I71" s="12" t="s">
        <v>1562</v>
      </c>
      <c r="J71" s="12" t="s">
        <v>1007</v>
      </c>
      <c r="K71" s="12" t="s">
        <v>1588</v>
      </c>
      <c r="L71" s="12" t="s">
        <v>1578</v>
      </c>
      <c r="M71" s="11" t="s">
        <v>1562</v>
      </c>
    </row>
    <row r="72" spans="1:23" x14ac:dyDescent="0.15">
      <c r="A72" s="10" t="s">
        <v>2271</v>
      </c>
      <c r="B72" s="9" t="s">
        <v>1116</v>
      </c>
      <c r="C72" s="8" t="s">
        <v>1003</v>
      </c>
      <c r="D72" s="5"/>
      <c r="E72" s="4"/>
      <c r="F72" s="4"/>
      <c r="G72" s="7">
        <v>43105</v>
      </c>
      <c r="H72" s="6"/>
      <c r="I72" s="5" t="s">
        <v>1596</v>
      </c>
      <c r="J72" s="5"/>
      <c r="K72" s="7"/>
      <c r="L72" s="6"/>
      <c r="M72" s="5"/>
      <c r="N72" s="2" t="s">
        <v>1568</v>
      </c>
      <c r="Q72" s="3" t="b">
        <f t="shared" ref="Q72:Q83" si="34">IF($Q$6&gt;=G72,0)</f>
        <v>0</v>
      </c>
      <c r="R72" s="3" t="b">
        <f t="shared" ref="R72:R83" si="35">IF($R$6&gt;=G72,0)</f>
        <v>0</v>
      </c>
      <c r="T72" s="3" t="b">
        <f t="shared" ref="T72:T83" si="36">IF($T$6&gt;=G72,0)</f>
        <v>0</v>
      </c>
      <c r="U72" s="3">
        <f t="shared" ref="U72:U83" si="37">IF($U$6&gt;=G72,0)</f>
        <v>0</v>
      </c>
      <c r="V72" s="3">
        <f t="shared" ref="V72:V83" si="38">IF($V$6&gt;=G72,0)</f>
        <v>0</v>
      </c>
      <c r="W72">
        <f t="shared" ref="W72:W83" si="39">IF($W$6&gt;=G72,0)</f>
        <v>0</v>
      </c>
    </row>
    <row r="73" spans="1:23" x14ac:dyDescent="0.15">
      <c r="A73" s="10" t="s">
        <v>2026</v>
      </c>
      <c r="B73" s="9" t="s">
        <v>1330</v>
      </c>
      <c r="C73" s="8" t="s">
        <v>1003</v>
      </c>
      <c r="D73" s="5"/>
      <c r="E73" s="4"/>
      <c r="F73" s="4"/>
      <c r="G73" s="7">
        <v>43105</v>
      </c>
      <c r="H73" s="6"/>
      <c r="I73" s="5" t="s">
        <v>1596</v>
      </c>
      <c r="J73" s="5"/>
      <c r="K73" s="7"/>
      <c r="L73" s="6"/>
      <c r="M73" s="5"/>
      <c r="N73" s="2" t="s">
        <v>1568</v>
      </c>
      <c r="Q73" s="3" t="b">
        <f t="shared" si="34"/>
        <v>0</v>
      </c>
      <c r="R73" s="3" t="b">
        <f t="shared" si="35"/>
        <v>0</v>
      </c>
      <c r="T73" s="3" t="b">
        <f t="shared" si="36"/>
        <v>0</v>
      </c>
      <c r="U73" s="3">
        <f t="shared" si="37"/>
        <v>0</v>
      </c>
      <c r="V73" s="3">
        <f t="shared" si="38"/>
        <v>0</v>
      </c>
      <c r="W73">
        <f t="shared" si="39"/>
        <v>0</v>
      </c>
    </row>
    <row r="74" spans="1:23" x14ac:dyDescent="0.15">
      <c r="A74" s="10" t="s">
        <v>2190</v>
      </c>
      <c r="B74" s="9" t="s">
        <v>1270</v>
      </c>
      <c r="C74" s="8" t="s">
        <v>1003</v>
      </c>
      <c r="D74" s="5"/>
      <c r="E74" s="4"/>
      <c r="F74" s="4"/>
      <c r="G74" s="7">
        <v>43105</v>
      </c>
      <c r="H74" s="6"/>
      <c r="I74" s="5" t="s">
        <v>1596</v>
      </c>
      <c r="J74" s="5"/>
      <c r="K74" s="7"/>
      <c r="L74" s="6"/>
      <c r="M74" s="5"/>
      <c r="N74" s="2" t="s">
        <v>1568</v>
      </c>
      <c r="Q74" s="3" t="b">
        <f t="shared" si="34"/>
        <v>0</v>
      </c>
      <c r="R74" s="3" t="b">
        <f t="shared" si="35"/>
        <v>0</v>
      </c>
      <c r="T74" s="3" t="b">
        <f t="shared" si="36"/>
        <v>0</v>
      </c>
      <c r="U74" s="3">
        <f t="shared" si="37"/>
        <v>0</v>
      </c>
      <c r="V74" s="3">
        <f t="shared" si="38"/>
        <v>0</v>
      </c>
      <c r="W74">
        <f t="shared" si="39"/>
        <v>0</v>
      </c>
    </row>
    <row r="75" spans="1:23" x14ac:dyDescent="0.15">
      <c r="A75" s="10" t="s">
        <v>2308</v>
      </c>
      <c r="B75" s="9" t="s">
        <v>1180</v>
      </c>
      <c r="C75" s="8" t="s">
        <v>1003</v>
      </c>
      <c r="D75" s="5"/>
      <c r="E75" s="4"/>
      <c r="F75" s="4"/>
      <c r="G75" s="7">
        <v>43105</v>
      </c>
      <c r="H75" s="6"/>
      <c r="I75" s="5" t="s">
        <v>1596</v>
      </c>
      <c r="J75" s="5"/>
      <c r="K75" s="7"/>
      <c r="L75" s="6"/>
      <c r="M75" s="5"/>
      <c r="N75" s="2" t="s">
        <v>1568</v>
      </c>
      <c r="Q75" s="3" t="b">
        <f t="shared" si="34"/>
        <v>0</v>
      </c>
      <c r="R75" s="3" t="b">
        <f t="shared" si="35"/>
        <v>0</v>
      </c>
      <c r="T75" s="3" t="b">
        <f t="shared" si="36"/>
        <v>0</v>
      </c>
      <c r="U75" s="3">
        <f t="shared" si="37"/>
        <v>0</v>
      </c>
      <c r="V75" s="3">
        <f t="shared" si="38"/>
        <v>0</v>
      </c>
      <c r="W75">
        <f t="shared" si="39"/>
        <v>0</v>
      </c>
    </row>
    <row r="76" spans="1:23" x14ac:dyDescent="0.15">
      <c r="A76" s="10" t="s">
        <v>2205</v>
      </c>
      <c r="B76" s="9" t="s">
        <v>1212</v>
      </c>
      <c r="C76" s="8" t="s">
        <v>1003</v>
      </c>
      <c r="D76" s="5"/>
      <c r="E76" s="4"/>
      <c r="F76" s="4"/>
      <c r="G76" s="7">
        <v>43105</v>
      </c>
      <c r="H76" s="6"/>
      <c r="I76" s="5" t="s">
        <v>1596</v>
      </c>
      <c r="J76" s="5"/>
      <c r="K76" s="7"/>
      <c r="L76" s="6"/>
      <c r="M76" s="5"/>
      <c r="N76" s="2" t="s">
        <v>1568</v>
      </c>
      <c r="Q76" s="3" t="b">
        <f t="shared" si="34"/>
        <v>0</v>
      </c>
      <c r="R76" s="3" t="b">
        <f t="shared" si="35"/>
        <v>0</v>
      </c>
      <c r="T76" s="3" t="b">
        <f t="shared" si="36"/>
        <v>0</v>
      </c>
      <c r="U76" s="3">
        <f t="shared" si="37"/>
        <v>0</v>
      </c>
      <c r="V76" s="3">
        <f t="shared" si="38"/>
        <v>0</v>
      </c>
      <c r="W76">
        <f t="shared" si="39"/>
        <v>0</v>
      </c>
    </row>
    <row r="77" spans="1:23" x14ac:dyDescent="0.15">
      <c r="A77" s="10" t="s">
        <v>1688</v>
      </c>
      <c r="B77" s="9" t="s">
        <v>745</v>
      </c>
      <c r="C77" s="8" t="s">
        <v>1003</v>
      </c>
      <c r="D77" s="5"/>
      <c r="E77" s="4"/>
      <c r="F77" s="4"/>
      <c r="G77" s="7">
        <v>43105</v>
      </c>
      <c r="H77" s="6"/>
      <c r="I77" s="5" t="s">
        <v>1596</v>
      </c>
      <c r="J77" s="5"/>
      <c r="K77" s="7"/>
      <c r="L77" s="6"/>
      <c r="M77" s="5"/>
      <c r="N77" s="2" t="s">
        <v>1568</v>
      </c>
      <c r="Q77" s="3" t="b">
        <f t="shared" si="34"/>
        <v>0</v>
      </c>
      <c r="R77" s="3" t="b">
        <f t="shared" si="35"/>
        <v>0</v>
      </c>
      <c r="T77" s="3" t="b">
        <f t="shared" si="36"/>
        <v>0</v>
      </c>
      <c r="U77" s="3">
        <f t="shared" si="37"/>
        <v>0</v>
      </c>
      <c r="V77" s="3">
        <f t="shared" si="38"/>
        <v>0</v>
      </c>
      <c r="W77">
        <f t="shared" si="39"/>
        <v>0</v>
      </c>
    </row>
    <row r="78" spans="1:23" x14ac:dyDescent="0.15">
      <c r="A78" s="10" t="s">
        <v>2293</v>
      </c>
      <c r="B78" s="9" t="s">
        <v>1024</v>
      </c>
      <c r="C78" s="8" t="s">
        <v>1003</v>
      </c>
      <c r="D78" s="5"/>
      <c r="E78" s="4"/>
      <c r="F78" s="4"/>
      <c r="G78" s="7">
        <v>43105</v>
      </c>
      <c r="H78" s="6"/>
      <c r="I78" s="5" t="s">
        <v>1596</v>
      </c>
      <c r="J78" s="5"/>
      <c r="K78" s="7"/>
      <c r="L78" s="6"/>
      <c r="M78" s="5"/>
      <c r="N78" s="2" t="s">
        <v>1568</v>
      </c>
      <c r="Q78" s="3" t="b">
        <f t="shared" si="34"/>
        <v>0</v>
      </c>
      <c r="R78" s="3" t="b">
        <f t="shared" si="35"/>
        <v>0</v>
      </c>
      <c r="T78" s="3" t="b">
        <f t="shared" si="36"/>
        <v>0</v>
      </c>
      <c r="U78" s="3">
        <f t="shared" si="37"/>
        <v>0</v>
      </c>
      <c r="V78" s="3">
        <f t="shared" si="38"/>
        <v>0</v>
      </c>
      <c r="W78">
        <f t="shared" si="39"/>
        <v>0</v>
      </c>
    </row>
    <row r="79" spans="1:23" x14ac:dyDescent="0.15">
      <c r="A79" s="10" t="s">
        <v>2352</v>
      </c>
      <c r="B79" s="9" t="s">
        <v>1234</v>
      </c>
      <c r="C79" s="8" t="s">
        <v>1003</v>
      </c>
      <c r="D79" s="5"/>
      <c r="E79" s="4"/>
      <c r="F79" s="4"/>
      <c r="G79" s="7">
        <v>43105</v>
      </c>
      <c r="H79" s="6"/>
      <c r="I79" s="5" t="s">
        <v>1596</v>
      </c>
      <c r="J79" s="5"/>
      <c r="K79" s="7"/>
      <c r="L79" s="6"/>
      <c r="M79" s="5"/>
      <c r="N79" s="2" t="s">
        <v>1568</v>
      </c>
      <c r="Q79" s="3" t="b">
        <f t="shared" si="34"/>
        <v>0</v>
      </c>
      <c r="R79" s="3" t="b">
        <f t="shared" si="35"/>
        <v>0</v>
      </c>
      <c r="T79" s="3" t="b">
        <f t="shared" si="36"/>
        <v>0</v>
      </c>
      <c r="U79" s="3">
        <f t="shared" si="37"/>
        <v>0</v>
      </c>
      <c r="V79" s="3">
        <f t="shared" si="38"/>
        <v>0</v>
      </c>
      <c r="W79">
        <f t="shared" si="39"/>
        <v>0</v>
      </c>
    </row>
    <row r="80" spans="1:23" x14ac:dyDescent="0.15">
      <c r="A80" s="10" t="s">
        <v>2304</v>
      </c>
      <c r="B80" s="9" t="s">
        <v>1187</v>
      </c>
      <c r="C80" s="8" t="s">
        <v>1003</v>
      </c>
      <c r="D80" s="5"/>
      <c r="E80" s="4"/>
      <c r="F80" s="4"/>
      <c r="G80" s="7">
        <v>43105</v>
      </c>
      <c r="H80" s="6"/>
      <c r="I80" s="5" t="s">
        <v>1596</v>
      </c>
      <c r="J80" s="5"/>
      <c r="K80" s="7"/>
      <c r="L80" s="6"/>
      <c r="M80" s="5"/>
      <c r="N80" s="2" t="s">
        <v>1568</v>
      </c>
      <c r="Q80" s="3" t="b">
        <f t="shared" si="34"/>
        <v>0</v>
      </c>
      <c r="R80" s="3" t="b">
        <f t="shared" si="35"/>
        <v>0</v>
      </c>
      <c r="T80" s="3" t="b">
        <f t="shared" si="36"/>
        <v>0</v>
      </c>
      <c r="U80" s="3">
        <f t="shared" si="37"/>
        <v>0</v>
      </c>
      <c r="V80" s="3">
        <f t="shared" si="38"/>
        <v>0</v>
      </c>
      <c r="W80">
        <f t="shared" si="39"/>
        <v>0</v>
      </c>
    </row>
    <row r="81" spans="1:23" x14ac:dyDescent="0.15">
      <c r="A81" s="10" t="s">
        <v>2243</v>
      </c>
      <c r="B81" s="9" t="s">
        <v>1102</v>
      </c>
      <c r="C81" s="8" t="s">
        <v>1003</v>
      </c>
      <c r="D81" s="5"/>
      <c r="E81" s="4"/>
      <c r="F81" s="4"/>
      <c r="G81" s="7">
        <v>43105</v>
      </c>
      <c r="H81" s="6"/>
      <c r="I81" s="5" t="s">
        <v>1596</v>
      </c>
      <c r="J81" s="5"/>
      <c r="K81" s="7"/>
      <c r="L81" s="6"/>
      <c r="M81" s="5"/>
      <c r="N81" s="2" t="s">
        <v>1568</v>
      </c>
      <c r="Q81" s="3" t="b">
        <f t="shared" si="34"/>
        <v>0</v>
      </c>
      <c r="R81" s="3" t="b">
        <f t="shared" si="35"/>
        <v>0</v>
      </c>
      <c r="T81" s="3" t="b">
        <f t="shared" si="36"/>
        <v>0</v>
      </c>
      <c r="U81" s="3">
        <f t="shared" si="37"/>
        <v>0</v>
      </c>
      <c r="V81" s="3">
        <f t="shared" si="38"/>
        <v>0</v>
      </c>
      <c r="W81">
        <f t="shared" si="39"/>
        <v>0</v>
      </c>
    </row>
    <row r="82" spans="1:23" x14ac:dyDescent="0.15">
      <c r="A82" s="10" t="s">
        <v>1665</v>
      </c>
      <c r="B82" s="9" t="s">
        <v>1223</v>
      </c>
      <c r="C82" s="8" t="s">
        <v>1003</v>
      </c>
      <c r="D82" s="5"/>
      <c r="E82" s="4"/>
      <c r="F82" s="4"/>
      <c r="G82" s="7">
        <v>43105</v>
      </c>
      <c r="H82" s="6"/>
      <c r="I82" s="5" t="s">
        <v>1596</v>
      </c>
      <c r="J82" s="5"/>
      <c r="K82" s="7"/>
      <c r="L82" s="6"/>
      <c r="M82" s="5"/>
      <c r="N82" s="2" t="s">
        <v>1568</v>
      </c>
      <c r="Q82" s="3" t="b">
        <f t="shared" si="34"/>
        <v>0</v>
      </c>
      <c r="R82" s="3" t="b">
        <f t="shared" si="35"/>
        <v>0</v>
      </c>
      <c r="T82" s="3" t="b">
        <f t="shared" si="36"/>
        <v>0</v>
      </c>
      <c r="U82" s="3">
        <f t="shared" si="37"/>
        <v>0</v>
      </c>
      <c r="V82" s="3">
        <f t="shared" si="38"/>
        <v>0</v>
      </c>
      <c r="W82">
        <f t="shared" si="39"/>
        <v>0</v>
      </c>
    </row>
    <row r="83" spans="1:23" x14ac:dyDescent="0.15">
      <c r="A83" s="10" t="s">
        <v>1669</v>
      </c>
      <c r="B83" s="9" t="s">
        <v>1200</v>
      </c>
      <c r="C83" s="8" t="s">
        <v>1003</v>
      </c>
      <c r="D83" s="5"/>
      <c r="E83" s="4"/>
      <c r="F83" s="4"/>
      <c r="G83" s="7">
        <v>43105</v>
      </c>
      <c r="H83" s="6"/>
      <c r="I83" s="5" t="s">
        <v>1596</v>
      </c>
      <c r="J83" s="5"/>
      <c r="K83" s="7"/>
      <c r="L83" s="6"/>
      <c r="M83" s="5"/>
      <c r="N83" s="2" t="s">
        <v>1568</v>
      </c>
      <c r="Q83" s="3" t="b">
        <f t="shared" si="34"/>
        <v>0</v>
      </c>
      <c r="R83" s="3" t="b">
        <f t="shared" si="35"/>
        <v>0</v>
      </c>
      <c r="T83" s="3" t="b">
        <f t="shared" si="36"/>
        <v>0</v>
      </c>
      <c r="U83" s="3">
        <f t="shared" si="37"/>
        <v>0</v>
      </c>
      <c r="V83" s="3">
        <f t="shared" si="38"/>
        <v>0</v>
      </c>
      <c r="W83">
        <f t="shared" si="39"/>
        <v>0</v>
      </c>
    </row>
    <row r="84" spans="1:23" ht="22.5" x14ac:dyDescent="0.15">
      <c r="A84" s="16" t="s">
        <v>935</v>
      </c>
      <c r="B84" s="129" t="s">
        <v>547</v>
      </c>
      <c r="C84" s="130"/>
      <c r="D84" s="15" t="s">
        <v>1011</v>
      </c>
      <c r="E84" s="14" t="s">
        <v>1338</v>
      </c>
      <c r="F84" s="13" t="s">
        <v>2495</v>
      </c>
      <c r="G84" s="131" t="s">
        <v>1535</v>
      </c>
      <c r="H84" s="132"/>
      <c r="I84" s="132"/>
      <c r="J84" s="132"/>
      <c r="K84" s="132"/>
      <c r="L84" s="132"/>
      <c r="M84" s="133"/>
    </row>
    <row r="85" spans="1:23" x14ac:dyDescent="0.15">
      <c r="A85" s="134" t="s">
        <v>977</v>
      </c>
      <c r="B85" s="136" t="s">
        <v>920</v>
      </c>
      <c r="C85" s="138" t="s">
        <v>1008</v>
      </c>
      <c r="D85" s="140" t="s">
        <v>1009</v>
      </c>
      <c r="E85" s="142" t="s">
        <v>2118</v>
      </c>
      <c r="F85" s="142" t="s">
        <v>1849</v>
      </c>
      <c r="G85" s="144" t="s">
        <v>994</v>
      </c>
      <c r="H85" s="145"/>
      <c r="I85" s="145"/>
      <c r="J85" s="146"/>
      <c r="K85" s="144" t="s">
        <v>982</v>
      </c>
      <c r="L85" s="145"/>
      <c r="M85" s="147"/>
    </row>
    <row r="86" spans="1:23" x14ac:dyDescent="0.15">
      <c r="A86" s="135"/>
      <c r="B86" s="137"/>
      <c r="C86" s="139"/>
      <c r="D86" s="141"/>
      <c r="E86" s="143"/>
      <c r="F86" s="143"/>
      <c r="G86" s="12" t="s">
        <v>1588</v>
      </c>
      <c r="H86" s="12" t="s">
        <v>1578</v>
      </c>
      <c r="I86" s="12" t="s">
        <v>1562</v>
      </c>
      <c r="J86" s="12" t="s">
        <v>1007</v>
      </c>
      <c r="K86" s="12" t="s">
        <v>1588</v>
      </c>
      <c r="L86" s="12" t="s">
        <v>1578</v>
      </c>
      <c r="M86" s="11" t="s">
        <v>1562</v>
      </c>
    </row>
    <row r="87" spans="1:23" ht="45.75" customHeight="1" x14ac:dyDescent="0.15">
      <c r="A87" s="10" t="s">
        <v>1714</v>
      </c>
      <c r="B87" s="9" t="s">
        <v>765</v>
      </c>
      <c r="C87" s="8" t="s">
        <v>1003</v>
      </c>
      <c r="D87" s="5"/>
      <c r="E87" s="4"/>
      <c r="F87" s="4"/>
      <c r="G87" s="7">
        <v>43105</v>
      </c>
      <c r="H87" s="6"/>
      <c r="I87" s="5" t="s">
        <v>1596</v>
      </c>
      <c r="J87" s="5"/>
      <c r="K87" s="7"/>
      <c r="L87" s="6"/>
      <c r="M87" s="5"/>
      <c r="N87" s="2" t="s">
        <v>1568</v>
      </c>
      <c r="Q87" s="3" t="b">
        <f>IF($Q$6&gt;=G87,0)</f>
        <v>0</v>
      </c>
      <c r="R87" s="3" t="b">
        <f>IF($R$6&gt;=G87,0)</f>
        <v>0</v>
      </c>
      <c r="T87" s="3" t="b">
        <f>IF($T$6&gt;=G87,0)</f>
        <v>0</v>
      </c>
      <c r="U87" s="3">
        <f>IF($U$6&gt;=G87,0)</f>
        <v>0</v>
      </c>
      <c r="V87" s="3">
        <f>IF($V$6&gt;=G87,0)</f>
        <v>0</v>
      </c>
      <c r="W87">
        <f>IF($W$6&gt;=G87,0)</f>
        <v>0</v>
      </c>
    </row>
    <row r="88" spans="1:23" ht="23.25" customHeight="1" x14ac:dyDescent="0.15">
      <c r="A88" s="16" t="s">
        <v>935</v>
      </c>
      <c r="B88" s="129" t="s">
        <v>1461</v>
      </c>
      <c r="C88" s="130"/>
      <c r="D88" s="15" t="s">
        <v>1011</v>
      </c>
      <c r="E88" s="14" t="s">
        <v>116</v>
      </c>
      <c r="F88" s="13" t="s">
        <v>2495</v>
      </c>
      <c r="G88" s="131" t="s">
        <v>1452</v>
      </c>
      <c r="H88" s="132"/>
      <c r="I88" s="132"/>
      <c r="J88" s="132"/>
      <c r="K88" s="132"/>
      <c r="L88" s="132"/>
      <c r="M88" s="133"/>
    </row>
    <row r="89" spans="1:23" x14ac:dyDescent="0.15">
      <c r="A89" s="134" t="s">
        <v>977</v>
      </c>
      <c r="B89" s="136" t="s">
        <v>920</v>
      </c>
      <c r="C89" s="138" t="s">
        <v>1008</v>
      </c>
      <c r="D89" s="140" t="s">
        <v>1009</v>
      </c>
      <c r="E89" s="142" t="s">
        <v>2118</v>
      </c>
      <c r="F89" s="142" t="s">
        <v>1849</v>
      </c>
      <c r="G89" s="144" t="s">
        <v>994</v>
      </c>
      <c r="H89" s="145"/>
      <c r="I89" s="145"/>
      <c r="J89" s="146"/>
      <c r="K89" s="144" t="s">
        <v>982</v>
      </c>
      <c r="L89" s="145"/>
      <c r="M89" s="147"/>
    </row>
    <row r="90" spans="1:23" x14ac:dyDescent="0.15">
      <c r="A90" s="135"/>
      <c r="B90" s="137"/>
      <c r="C90" s="139"/>
      <c r="D90" s="141"/>
      <c r="E90" s="143"/>
      <c r="F90" s="143"/>
      <c r="G90" s="12" t="s">
        <v>1588</v>
      </c>
      <c r="H90" s="12" t="s">
        <v>1578</v>
      </c>
      <c r="I90" s="12" t="s">
        <v>1562</v>
      </c>
      <c r="J90" s="12" t="s">
        <v>1007</v>
      </c>
      <c r="K90" s="12" t="s">
        <v>1588</v>
      </c>
      <c r="L90" s="12" t="s">
        <v>1578</v>
      </c>
      <c r="M90" s="11" t="s">
        <v>1562</v>
      </c>
    </row>
    <row r="91" spans="1:23" x14ac:dyDescent="0.15">
      <c r="A91" s="10" t="s">
        <v>1693</v>
      </c>
      <c r="B91" s="9" t="s">
        <v>2697</v>
      </c>
      <c r="C91" s="8" t="s">
        <v>1003</v>
      </c>
      <c r="D91" s="5"/>
      <c r="E91" s="4"/>
      <c r="F91" s="4"/>
      <c r="G91" s="7">
        <v>43112</v>
      </c>
      <c r="H91" s="6"/>
      <c r="I91" s="5" t="s">
        <v>1580</v>
      </c>
      <c r="J91" s="5"/>
      <c r="K91" s="7"/>
      <c r="L91" s="6"/>
      <c r="M91" s="5"/>
      <c r="N91" s="2" t="s">
        <v>1586</v>
      </c>
      <c r="Q91" s="3" t="b">
        <f t="shared" ref="Q91:Q96" si="40">IF($Q$6&gt;=G91,0)</f>
        <v>0</v>
      </c>
      <c r="R91" s="3" t="b">
        <f t="shared" ref="R91:R96" si="41">IF($R$6&gt;=G91,0)</f>
        <v>0</v>
      </c>
      <c r="T91" s="3" t="b">
        <f t="shared" ref="T91:T96" si="42">IF($T$6&gt;=G91,0)</f>
        <v>0</v>
      </c>
      <c r="U91" s="3" t="b">
        <f t="shared" ref="U91:U96" si="43">IF($U$6&gt;=G91,0)</f>
        <v>0</v>
      </c>
      <c r="V91" s="3">
        <f t="shared" ref="V91:V96" si="44">IF($V$6&gt;=G91,0)</f>
        <v>0</v>
      </c>
      <c r="W91">
        <f t="shared" ref="W91:W96" si="45">IF($W$6&gt;=G91,0)</f>
        <v>0</v>
      </c>
    </row>
    <row r="92" spans="1:23" x14ac:dyDescent="0.15">
      <c r="A92" s="10" t="s">
        <v>2228</v>
      </c>
      <c r="B92" s="9" t="s">
        <v>246</v>
      </c>
      <c r="C92" s="8" t="s">
        <v>1003</v>
      </c>
      <c r="D92" s="5"/>
      <c r="E92" s="4"/>
      <c r="F92" s="4"/>
      <c r="G92" s="7">
        <v>43112</v>
      </c>
      <c r="H92" s="6"/>
      <c r="I92" s="5" t="s">
        <v>1580</v>
      </c>
      <c r="J92" s="5"/>
      <c r="K92" s="7"/>
      <c r="L92" s="6"/>
      <c r="M92" s="5"/>
      <c r="N92" s="2" t="s">
        <v>1586</v>
      </c>
      <c r="Q92" s="3" t="b">
        <f t="shared" si="40"/>
        <v>0</v>
      </c>
      <c r="R92" s="3" t="b">
        <f t="shared" si="41"/>
        <v>0</v>
      </c>
      <c r="T92" s="3" t="b">
        <f t="shared" si="42"/>
        <v>0</v>
      </c>
      <c r="U92" s="3" t="b">
        <f t="shared" si="43"/>
        <v>0</v>
      </c>
      <c r="V92" s="3">
        <f t="shared" si="44"/>
        <v>0</v>
      </c>
      <c r="W92">
        <f t="shared" si="45"/>
        <v>0</v>
      </c>
    </row>
    <row r="93" spans="1:23" x14ac:dyDescent="0.15">
      <c r="A93" s="10" t="s">
        <v>2200</v>
      </c>
      <c r="B93" s="9" t="s">
        <v>183</v>
      </c>
      <c r="C93" s="8" t="s">
        <v>1003</v>
      </c>
      <c r="D93" s="5"/>
      <c r="E93" s="4"/>
      <c r="F93" s="4"/>
      <c r="G93" s="7">
        <v>43112</v>
      </c>
      <c r="H93" s="6"/>
      <c r="I93" s="5" t="s">
        <v>1580</v>
      </c>
      <c r="J93" s="5"/>
      <c r="K93" s="7"/>
      <c r="L93" s="6"/>
      <c r="M93" s="5"/>
      <c r="N93" s="2" t="s">
        <v>1586</v>
      </c>
      <c r="Q93" s="3" t="b">
        <f t="shared" si="40"/>
        <v>0</v>
      </c>
      <c r="R93" s="3" t="b">
        <f t="shared" si="41"/>
        <v>0</v>
      </c>
      <c r="T93" s="3" t="b">
        <f t="shared" si="42"/>
        <v>0</v>
      </c>
      <c r="U93" s="3" t="b">
        <f t="shared" si="43"/>
        <v>0</v>
      </c>
      <c r="V93" s="3">
        <f t="shared" si="44"/>
        <v>0</v>
      </c>
      <c r="W93">
        <f t="shared" si="45"/>
        <v>0</v>
      </c>
    </row>
    <row r="94" spans="1:23" x14ac:dyDescent="0.15">
      <c r="A94" s="10" t="s">
        <v>1682</v>
      </c>
      <c r="B94" s="9" t="s">
        <v>2698</v>
      </c>
      <c r="C94" s="8" t="s">
        <v>1003</v>
      </c>
      <c r="D94" s="5"/>
      <c r="E94" s="4"/>
      <c r="F94" s="4"/>
      <c r="G94" s="7">
        <v>43112</v>
      </c>
      <c r="H94" s="6"/>
      <c r="I94" s="5" t="s">
        <v>1580</v>
      </c>
      <c r="J94" s="5"/>
      <c r="K94" s="7"/>
      <c r="L94" s="6"/>
      <c r="M94" s="5"/>
      <c r="N94" s="2" t="s">
        <v>1586</v>
      </c>
      <c r="Q94" s="3" t="b">
        <f t="shared" si="40"/>
        <v>0</v>
      </c>
      <c r="R94" s="3" t="b">
        <f t="shared" si="41"/>
        <v>0</v>
      </c>
      <c r="T94" s="3" t="b">
        <f t="shared" si="42"/>
        <v>0</v>
      </c>
      <c r="U94" s="3" t="b">
        <f t="shared" si="43"/>
        <v>0</v>
      </c>
      <c r="V94" s="3">
        <f t="shared" si="44"/>
        <v>0</v>
      </c>
      <c r="W94">
        <f t="shared" si="45"/>
        <v>0</v>
      </c>
    </row>
    <row r="95" spans="1:23" x14ac:dyDescent="0.15">
      <c r="A95" s="10" t="s">
        <v>2320</v>
      </c>
      <c r="B95" s="9" t="s">
        <v>287</v>
      </c>
      <c r="C95" s="8" t="s">
        <v>1003</v>
      </c>
      <c r="D95" s="5"/>
      <c r="E95" s="4"/>
      <c r="F95" s="4"/>
      <c r="G95" s="7">
        <v>43112</v>
      </c>
      <c r="H95" s="6"/>
      <c r="I95" s="5" t="s">
        <v>1580</v>
      </c>
      <c r="J95" s="5"/>
      <c r="K95" s="7"/>
      <c r="L95" s="6"/>
      <c r="M95" s="5"/>
      <c r="N95" s="2" t="s">
        <v>1586</v>
      </c>
      <c r="Q95" s="3" t="b">
        <f t="shared" si="40"/>
        <v>0</v>
      </c>
      <c r="R95" s="3" t="b">
        <f t="shared" si="41"/>
        <v>0</v>
      </c>
      <c r="T95" s="3" t="b">
        <f t="shared" si="42"/>
        <v>0</v>
      </c>
      <c r="U95" s="3" t="b">
        <f t="shared" si="43"/>
        <v>0</v>
      </c>
      <c r="V95" s="3">
        <f t="shared" si="44"/>
        <v>0</v>
      </c>
      <c r="W95">
        <f t="shared" si="45"/>
        <v>0</v>
      </c>
    </row>
    <row r="96" spans="1:23" x14ac:dyDescent="0.15">
      <c r="A96" s="10" t="s">
        <v>1685</v>
      </c>
      <c r="B96" s="9" t="s">
        <v>178</v>
      </c>
      <c r="C96" s="8" t="s">
        <v>1003</v>
      </c>
      <c r="D96" s="5"/>
      <c r="E96" s="4"/>
      <c r="F96" s="4"/>
      <c r="G96" s="7">
        <v>43112</v>
      </c>
      <c r="H96" s="6"/>
      <c r="I96" s="5" t="s">
        <v>1580</v>
      </c>
      <c r="J96" s="5"/>
      <c r="K96" s="7"/>
      <c r="L96" s="6"/>
      <c r="M96" s="5"/>
      <c r="N96" s="2" t="s">
        <v>1586</v>
      </c>
      <c r="Q96" s="3" t="b">
        <f t="shared" si="40"/>
        <v>0</v>
      </c>
      <c r="R96" s="3" t="b">
        <f t="shared" si="41"/>
        <v>0</v>
      </c>
      <c r="T96" s="3" t="b">
        <f t="shared" si="42"/>
        <v>0</v>
      </c>
      <c r="U96" s="3" t="b">
        <f t="shared" si="43"/>
        <v>0</v>
      </c>
      <c r="V96" s="3">
        <f t="shared" si="44"/>
        <v>0</v>
      </c>
      <c r="W96">
        <f t="shared" si="45"/>
        <v>0</v>
      </c>
    </row>
    <row r="97" spans="1:23" ht="22.5" x14ac:dyDescent="0.15">
      <c r="A97" s="16" t="s">
        <v>935</v>
      </c>
      <c r="B97" s="129" t="s">
        <v>902</v>
      </c>
      <c r="C97" s="130"/>
      <c r="D97" s="15" t="s">
        <v>1011</v>
      </c>
      <c r="E97" s="14" t="s">
        <v>506</v>
      </c>
      <c r="F97" s="13" t="s">
        <v>2495</v>
      </c>
      <c r="G97" s="131" t="s">
        <v>1465</v>
      </c>
      <c r="H97" s="132"/>
      <c r="I97" s="132"/>
      <c r="J97" s="132"/>
      <c r="K97" s="132"/>
      <c r="L97" s="132"/>
      <c r="M97" s="133"/>
    </row>
    <row r="98" spans="1:23" x14ac:dyDescent="0.15">
      <c r="A98" s="134" t="s">
        <v>977</v>
      </c>
      <c r="B98" s="136" t="s">
        <v>920</v>
      </c>
      <c r="C98" s="138" t="s">
        <v>1008</v>
      </c>
      <c r="D98" s="140" t="s">
        <v>1009</v>
      </c>
      <c r="E98" s="142" t="s">
        <v>2118</v>
      </c>
      <c r="F98" s="142" t="s">
        <v>1849</v>
      </c>
      <c r="G98" s="144" t="s">
        <v>994</v>
      </c>
      <c r="H98" s="145"/>
      <c r="I98" s="145"/>
      <c r="J98" s="146"/>
      <c r="K98" s="144" t="s">
        <v>982</v>
      </c>
      <c r="L98" s="145"/>
      <c r="M98" s="147"/>
    </row>
    <row r="99" spans="1:23" x14ac:dyDescent="0.15">
      <c r="A99" s="135"/>
      <c r="B99" s="137"/>
      <c r="C99" s="139"/>
      <c r="D99" s="141"/>
      <c r="E99" s="143"/>
      <c r="F99" s="143"/>
      <c r="G99" s="12" t="s">
        <v>1588</v>
      </c>
      <c r="H99" s="12" t="s">
        <v>1578</v>
      </c>
      <c r="I99" s="12" t="s">
        <v>1562</v>
      </c>
      <c r="J99" s="12" t="s">
        <v>1007</v>
      </c>
      <c r="K99" s="12" t="s">
        <v>1588</v>
      </c>
      <c r="L99" s="12" t="s">
        <v>1578</v>
      </c>
      <c r="M99" s="11" t="s">
        <v>1562</v>
      </c>
    </row>
    <row r="100" spans="1:23" ht="38.25" x14ac:dyDescent="0.15">
      <c r="A100" s="10" t="s">
        <v>2211</v>
      </c>
      <c r="B100" s="9" t="s">
        <v>1357</v>
      </c>
      <c r="C100" s="8" t="s">
        <v>1003</v>
      </c>
      <c r="D100" s="9" t="s">
        <v>2697</v>
      </c>
      <c r="E100" s="9" t="s">
        <v>478</v>
      </c>
      <c r="F100" s="4" t="s">
        <v>2227</v>
      </c>
      <c r="G100" s="7">
        <v>43121</v>
      </c>
      <c r="H100" s="6"/>
      <c r="I100" s="31" t="s">
        <v>1563</v>
      </c>
      <c r="J100" s="5"/>
      <c r="K100" s="7"/>
      <c r="L100" s="6"/>
      <c r="M100" s="5"/>
      <c r="N100" s="2" t="s">
        <v>1565</v>
      </c>
      <c r="Q100" s="3" t="b">
        <f t="shared" ref="Q100:Q105" si="46">IF($Q$6&gt;=G100,0)</f>
        <v>0</v>
      </c>
      <c r="R100" s="3" t="b">
        <f t="shared" ref="R100:R105" si="47">IF($R$6&gt;=G100,0)</f>
        <v>0</v>
      </c>
      <c r="T100" s="3" t="b">
        <f t="shared" ref="T100:T105" si="48">IF($T$6&gt;=G100,0)</f>
        <v>0</v>
      </c>
      <c r="U100" s="3" t="b">
        <f t="shared" ref="U100:U105" si="49">IF($U$6&gt;=G100,0)</f>
        <v>0</v>
      </c>
      <c r="V100" s="3" t="b">
        <f t="shared" ref="V100:V105" si="50">IF($V$6&gt;=G100,0)</f>
        <v>0</v>
      </c>
      <c r="W100">
        <f t="shared" ref="W100:W105" si="51">IF($W$6&gt;=G100,0)</f>
        <v>0</v>
      </c>
    </row>
    <row r="101" spans="1:23" ht="38.25" x14ac:dyDescent="0.15">
      <c r="A101" s="10" t="s">
        <v>1666</v>
      </c>
      <c r="B101" s="9" t="s">
        <v>106</v>
      </c>
      <c r="C101" s="8" t="s">
        <v>1003</v>
      </c>
      <c r="D101" s="9" t="s">
        <v>246</v>
      </c>
      <c r="E101" s="9" t="s">
        <v>397</v>
      </c>
      <c r="F101" s="4" t="s">
        <v>2227</v>
      </c>
      <c r="G101" s="7">
        <v>43121</v>
      </c>
      <c r="H101" s="6"/>
      <c r="I101" s="31" t="s">
        <v>1563</v>
      </c>
      <c r="J101" s="5"/>
      <c r="K101" s="7"/>
      <c r="L101" s="6"/>
      <c r="M101" s="5"/>
      <c r="N101" s="2" t="s">
        <v>1565</v>
      </c>
      <c r="Q101" s="3" t="b">
        <f t="shared" si="46"/>
        <v>0</v>
      </c>
      <c r="R101" s="3" t="b">
        <f t="shared" si="47"/>
        <v>0</v>
      </c>
      <c r="T101" s="3" t="b">
        <f t="shared" si="48"/>
        <v>0</v>
      </c>
      <c r="U101" s="3" t="b">
        <f t="shared" si="49"/>
        <v>0</v>
      </c>
      <c r="V101" s="3" t="b">
        <f t="shared" si="50"/>
        <v>0</v>
      </c>
      <c r="W101">
        <f t="shared" si="51"/>
        <v>0</v>
      </c>
    </row>
    <row r="102" spans="1:23" ht="38.25" x14ac:dyDescent="0.15">
      <c r="A102" s="10" t="s">
        <v>2194</v>
      </c>
      <c r="B102" s="9" t="s">
        <v>1366</v>
      </c>
      <c r="C102" s="8" t="s">
        <v>1003</v>
      </c>
      <c r="D102" s="9" t="s">
        <v>183</v>
      </c>
      <c r="E102" s="9" t="s">
        <v>387</v>
      </c>
      <c r="F102" s="4" t="s">
        <v>2227</v>
      </c>
      <c r="G102" s="7">
        <v>43121</v>
      </c>
      <c r="H102" s="6"/>
      <c r="I102" s="31" t="s">
        <v>1563</v>
      </c>
      <c r="J102" s="5"/>
      <c r="K102" s="7"/>
      <c r="L102" s="6"/>
      <c r="M102" s="5"/>
      <c r="N102" s="2" t="s">
        <v>1565</v>
      </c>
      <c r="Q102" s="3" t="b">
        <f t="shared" si="46"/>
        <v>0</v>
      </c>
      <c r="R102" s="3" t="b">
        <f t="shared" si="47"/>
        <v>0</v>
      </c>
      <c r="T102" s="3" t="b">
        <f t="shared" si="48"/>
        <v>0</v>
      </c>
      <c r="U102" s="3" t="b">
        <f t="shared" si="49"/>
        <v>0</v>
      </c>
      <c r="V102" s="3" t="b">
        <f t="shared" si="50"/>
        <v>0</v>
      </c>
      <c r="W102">
        <f t="shared" si="51"/>
        <v>0</v>
      </c>
    </row>
    <row r="103" spans="1:23" ht="38.25" x14ac:dyDescent="0.15">
      <c r="A103" s="10" t="s">
        <v>2192</v>
      </c>
      <c r="B103" s="9" t="s">
        <v>1365</v>
      </c>
      <c r="C103" s="8" t="s">
        <v>1003</v>
      </c>
      <c r="D103" s="9" t="s">
        <v>2698</v>
      </c>
      <c r="E103" s="9" t="s">
        <v>489</v>
      </c>
      <c r="F103" s="4" t="s">
        <v>2227</v>
      </c>
      <c r="G103" s="7">
        <v>43121</v>
      </c>
      <c r="H103" s="6"/>
      <c r="I103" s="31" t="s">
        <v>1563</v>
      </c>
      <c r="J103" s="5"/>
      <c r="K103" s="7"/>
      <c r="L103" s="6"/>
      <c r="M103" s="5"/>
      <c r="N103" s="2" t="s">
        <v>1565</v>
      </c>
      <c r="Q103" s="3" t="b">
        <f t="shared" si="46"/>
        <v>0</v>
      </c>
      <c r="R103" s="3" t="b">
        <f t="shared" si="47"/>
        <v>0</v>
      </c>
      <c r="T103" s="3" t="b">
        <f t="shared" si="48"/>
        <v>0</v>
      </c>
      <c r="U103" s="3" t="b">
        <f t="shared" si="49"/>
        <v>0</v>
      </c>
      <c r="V103" s="3" t="b">
        <f t="shared" si="50"/>
        <v>0</v>
      </c>
      <c r="W103">
        <f t="shared" si="51"/>
        <v>0</v>
      </c>
    </row>
    <row r="104" spans="1:23" ht="38.25" x14ac:dyDescent="0.15">
      <c r="A104" s="10" t="s">
        <v>1707</v>
      </c>
      <c r="B104" s="9" t="s">
        <v>132</v>
      </c>
      <c r="C104" s="8" t="s">
        <v>1003</v>
      </c>
      <c r="D104" s="9" t="s">
        <v>287</v>
      </c>
      <c r="E104" s="9" t="s">
        <v>380</v>
      </c>
      <c r="F104" s="4" t="s">
        <v>2227</v>
      </c>
      <c r="G104" s="7">
        <v>43121</v>
      </c>
      <c r="H104" s="6"/>
      <c r="I104" s="31" t="s">
        <v>1563</v>
      </c>
      <c r="J104" s="5"/>
      <c r="K104" s="7"/>
      <c r="L104" s="6"/>
      <c r="M104" s="5"/>
      <c r="N104" s="2" t="s">
        <v>1565</v>
      </c>
      <c r="Q104" s="3" t="b">
        <f t="shared" si="46"/>
        <v>0</v>
      </c>
      <c r="R104" s="3" t="b">
        <f t="shared" si="47"/>
        <v>0</v>
      </c>
      <c r="T104" s="3" t="b">
        <f t="shared" si="48"/>
        <v>0</v>
      </c>
      <c r="U104" s="3" t="b">
        <f t="shared" si="49"/>
        <v>0</v>
      </c>
      <c r="V104" s="3" t="b">
        <f t="shared" si="50"/>
        <v>0</v>
      </c>
      <c r="W104">
        <f t="shared" si="51"/>
        <v>0</v>
      </c>
    </row>
    <row r="105" spans="1:23" ht="38.25" x14ac:dyDescent="0.15">
      <c r="A105" s="10" t="s">
        <v>1792</v>
      </c>
      <c r="B105" s="9" t="s">
        <v>118</v>
      </c>
      <c r="C105" s="8" t="s">
        <v>1003</v>
      </c>
      <c r="D105" s="9" t="s">
        <v>178</v>
      </c>
      <c r="E105" s="9" t="s">
        <v>399</v>
      </c>
      <c r="F105" s="4" t="s">
        <v>2227</v>
      </c>
      <c r="G105" s="7">
        <v>43121</v>
      </c>
      <c r="H105" s="6"/>
      <c r="I105" s="31" t="s">
        <v>1563</v>
      </c>
      <c r="J105" s="5"/>
      <c r="K105" s="7"/>
      <c r="L105" s="6"/>
      <c r="M105" s="5"/>
      <c r="N105" s="2" t="s">
        <v>1565</v>
      </c>
      <c r="Q105" s="3" t="b">
        <f t="shared" si="46"/>
        <v>0</v>
      </c>
      <c r="R105" s="3" t="b">
        <f t="shared" si="47"/>
        <v>0</v>
      </c>
      <c r="T105" s="3" t="b">
        <f t="shared" si="48"/>
        <v>0</v>
      </c>
      <c r="U105" s="3" t="b">
        <f t="shared" si="49"/>
        <v>0</v>
      </c>
      <c r="V105" s="3" t="b">
        <f t="shared" si="50"/>
        <v>0</v>
      </c>
      <c r="W105">
        <f t="shared" si="51"/>
        <v>0</v>
      </c>
    </row>
    <row r="106" spans="1:23" ht="22.5" x14ac:dyDescent="0.15">
      <c r="A106" s="16" t="s">
        <v>935</v>
      </c>
      <c r="B106" s="129" t="s">
        <v>1546</v>
      </c>
      <c r="C106" s="130"/>
      <c r="D106" s="15" t="s">
        <v>1011</v>
      </c>
      <c r="E106" s="14" t="s">
        <v>486</v>
      </c>
      <c r="F106" s="13" t="s">
        <v>2495</v>
      </c>
      <c r="G106" s="131" t="s">
        <v>825</v>
      </c>
      <c r="H106" s="132"/>
      <c r="I106" s="132"/>
      <c r="J106" s="132"/>
      <c r="K106" s="132"/>
      <c r="L106" s="132"/>
      <c r="M106" s="133"/>
    </row>
    <row r="107" spans="1:23" x14ac:dyDescent="0.15">
      <c r="A107" s="134" t="s">
        <v>977</v>
      </c>
      <c r="B107" s="136" t="s">
        <v>920</v>
      </c>
      <c r="C107" s="138" t="s">
        <v>1008</v>
      </c>
      <c r="D107" s="140" t="s">
        <v>1009</v>
      </c>
      <c r="E107" s="142" t="s">
        <v>2118</v>
      </c>
      <c r="F107" s="142" t="s">
        <v>1849</v>
      </c>
      <c r="G107" s="144" t="s">
        <v>994</v>
      </c>
      <c r="H107" s="145"/>
      <c r="I107" s="145"/>
      <c r="J107" s="146"/>
      <c r="K107" s="144" t="s">
        <v>982</v>
      </c>
      <c r="L107" s="145"/>
      <c r="M107" s="147"/>
    </row>
    <row r="108" spans="1:23" x14ac:dyDescent="0.15">
      <c r="A108" s="135"/>
      <c r="B108" s="137"/>
      <c r="C108" s="139"/>
      <c r="D108" s="141"/>
      <c r="E108" s="143"/>
      <c r="F108" s="143"/>
      <c r="G108" s="12" t="s">
        <v>1588</v>
      </c>
      <c r="H108" s="12" t="s">
        <v>1578</v>
      </c>
      <c r="I108" s="12" t="s">
        <v>1562</v>
      </c>
      <c r="J108" s="12" t="s">
        <v>1007</v>
      </c>
      <c r="K108" s="12" t="s">
        <v>1588</v>
      </c>
      <c r="L108" s="12" t="s">
        <v>1578</v>
      </c>
      <c r="M108" s="11" t="s">
        <v>1562</v>
      </c>
    </row>
    <row r="109" spans="1:23" ht="25.5" x14ac:dyDescent="0.15">
      <c r="A109" s="10" t="s">
        <v>2340</v>
      </c>
      <c r="B109" s="9" t="s">
        <v>388</v>
      </c>
      <c r="C109" s="8" t="s">
        <v>1003</v>
      </c>
      <c r="D109" s="5" t="s">
        <v>1004</v>
      </c>
      <c r="E109" s="4" t="s">
        <v>412</v>
      </c>
      <c r="F109" s="4" t="s">
        <v>910</v>
      </c>
      <c r="G109" s="7">
        <v>43121</v>
      </c>
      <c r="H109" s="6"/>
      <c r="I109" s="31" t="s">
        <v>1563</v>
      </c>
      <c r="J109" s="5"/>
      <c r="K109" s="7"/>
      <c r="L109" s="6"/>
      <c r="M109" s="5"/>
      <c r="N109" s="2" t="s">
        <v>1565</v>
      </c>
      <c r="Q109" s="3" t="b">
        <f t="shared" ref="Q109:Q114" si="52">IF($Q$6&gt;=G109,0)</f>
        <v>0</v>
      </c>
      <c r="R109" s="3" t="b">
        <f t="shared" ref="R109:R114" si="53">IF($R$6&gt;=G109,0)</f>
        <v>0</v>
      </c>
      <c r="T109" s="3" t="b">
        <f t="shared" ref="T109:T114" si="54">IF($T$6&gt;=G109,0)</f>
        <v>0</v>
      </c>
      <c r="U109" s="3" t="b">
        <f t="shared" ref="U109:U114" si="55">IF($U$6&gt;=G109,0)</f>
        <v>0</v>
      </c>
      <c r="V109" s="3" t="b">
        <f t="shared" ref="V109:V114" si="56">IF($V$6&gt;=G109,0)</f>
        <v>0</v>
      </c>
      <c r="W109">
        <f t="shared" ref="W109:W114" si="57">IF($W$6&gt;=G109,0)</f>
        <v>0</v>
      </c>
    </row>
    <row r="110" spans="1:23" ht="25.5" x14ac:dyDescent="0.15">
      <c r="A110" s="10" t="s">
        <v>1674</v>
      </c>
      <c r="B110" s="9" t="s">
        <v>519</v>
      </c>
      <c r="C110" s="8" t="s">
        <v>1003</v>
      </c>
      <c r="D110" s="5" t="s">
        <v>1004</v>
      </c>
      <c r="E110" s="4" t="s">
        <v>412</v>
      </c>
      <c r="F110" s="4" t="s">
        <v>910</v>
      </c>
      <c r="G110" s="7">
        <v>43121</v>
      </c>
      <c r="H110" s="6"/>
      <c r="I110" s="31" t="s">
        <v>1563</v>
      </c>
      <c r="J110" s="5"/>
      <c r="K110" s="7"/>
      <c r="L110" s="6"/>
      <c r="M110" s="5"/>
      <c r="N110" s="2" t="s">
        <v>1565</v>
      </c>
      <c r="Q110" s="3" t="b">
        <f t="shared" si="52"/>
        <v>0</v>
      </c>
      <c r="R110" s="3" t="b">
        <f t="shared" si="53"/>
        <v>0</v>
      </c>
      <c r="T110" s="3" t="b">
        <f t="shared" si="54"/>
        <v>0</v>
      </c>
      <c r="U110" s="3" t="b">
        <f t="shared" si="55"/>
        <v>0</v>
      </c>
      <c r="V110" s="3" t="b">
        <f t="shared" si="56"/>
        <v>0</v>
      </c>
      <c r="W110">
        <f t="shared" si="57"/>
        <v>0</v>
      </c>
    </row>
    <row r="111" spans="1:23" ht="25.5" x14ac:dyDescent="0.15">
      <c r="A111" s="10" t="s">
        <v>2316</v>
      </c>
      <c r="B111" s="9" t="s">
        <v>522</v>
      </c>
      <c r="C111" s="8" t="s">
        <v>1003</v>
      </c>
      <c r="D111" s="5" t="s">
        <v>1004</v>
      </c>
      <c r="E111" s="4" t="s">
        <v>412</v>
      </c>
      <c r="F111" s="4" t="s">
        <v>910</v>
      </c>
      <c r="G111" s="7">
        <v>43121</v>
      </c>
      <c r="H111" s="6"/>
      <c r="I111" s="31" t="s">
        <v>1563</v>
      </c>
      <c r="J111" s="5"/>
      <c r="K111" s="7"/>
      <c r="L111" s="6"/>
      <c r="M111" s="5"/>
      <c r="N111" s="2" t="s">
        <v>1565</v>
      </c>
      <c r="Q111" s="3" t="b">
        <f t="shared" si="52"/>
        <v>0</v>
      </c>
      <c r="R111" s="3" t="b">
        <f t="shared" si="53"/>
        <v>0</v>
      </c>
      <c r="T111" s="3" t="b">
        <f t="shared" si="54"/>
        <v>0</v>
      </c>
      <c r="U111" s="3" t="b">
        <f t="shared" si="55"/>
        <v>0</v>
      </c>
      <c r="V111" s="3" t="b">
        <f t="shared" si="56"/>
        <v>0</v>
      </c>
      <c r="W111">
        <f t="shared" si="57"/>
        <v>0</v>
      </c>
    </row>
    <row r="112" spans="1:23" ht="25.5" x14ac:dyDescent="0.15">
      <c r="A112" s="10" t="s">
        <v>1812</v>
      </c>
      <c r="B112" s="9" t="s">
        <v>401</v>
      </c>
      <c r="C112" s="8" t="s">
        <v>1003</v>
      </c>
      <c r="D112" s="5" t="s">
        <v>1004</v>
      </c>
      <c r="E112" s="4" t="s">
        <v>412</v>
      </c>
      <c r="F112" s="4" t="s">
        <v>910</v>
      </c>
      <c r="G112" s="7">
        <v>43121</v>
      </c>
      <c r="H112" s="6"/>
      <c r="I112" s="31" t="s">
        <v>1563</v>
      </c>
      <c r="J112" s="5"/>
      <c r="K112" s="7"/>
      <c r="L112" s="6"/>
      <c r="M112" s="5"/>
      <c r="N112" s="2" t="s">
        <v>1565</v>
      </c>
      <c r="Q112" s="3" t="b">
        <f t="shared" si="52"/>
        <v>0</v>
      </c>
      <c r="R112" s="3" t="b">
        <f t="shared" si="53"/>
        <v>0</v>
      </c>
      <c r="T112" s="3" t="b">
        <f t="shared" si="54"/>
        <v>0</v>
      </c>
      <c r="U112" s="3" t="b">
        <f t="shared" si="55"/>
        <v>0</v>
      </c>
      <c r="V112" s="3" t="b">
        <f t="shared" si="56"/>
        <v>0</v>
      </c>
      <c r="W112">
        <f t="shared" si="57"/>
        <v>0</v>
      </c>
    </row>
    <row r="113" spans="1:23" ht="25.5" x14ac:dyDescent="0.15">
      <c r="A113" s="10" t="s">
        <v>2207</v>
      </c>
      <c r="B113" s="9" t="s">
        <v>512</v>
      </c>
      <c r="C113" s="8" t="s">
        <v>1003</v>
      </c>
      <c r="D113" s="5" t="s">
        <v>1004</v>
      </c>
      <c r="E113" s="4" t="s">
        <v>412</v>
      </c>
      <c r="F113" s="4" t="s">
        <v>910</v>
      </c>
      <c r="G113" s="7">
        <v>43121</v>
      </c>
      <c r="H113" s="6"/>
      <c r="I113" s="31" t="s">
        <v>1563</v>
      </c>
      <c r="J113" s="5"/>
      <c r="K113" s="7"/>
      <c r="L113" s="6"/>
      <c r="M113" s="5"/>
      <c r="N113" s="2" t="s">
        <v>1565</v>
      </c>
      <c r="Q113" s="3" t="b">
        <f t="shared" si="52"/>
        <v>0</v>
      </c>
      <c r="R113" s="3" t="b">
        <f t="shared" si="53"/>
        <v>0</v>
      </c>
      <c r="T113" s="3" t="b">
        <f t="shared" si="54"/>
        <v>0</v>
      </c>
      <c r="U113" s="3" t="b">
        <f t="shared" si="55"/>
        <v>0</v>
      </c>
      <c r="V113" s="3" t="b">
        <f t="shared" si="56"/>
        <v>0</v>
      </c>
      <c r="W113">
        <f t="shared" si="57"/>
        <v>0</v>
      </c>
    </row>
    <row r="114" spans="1:23" ht="25.5" x14ac:dyDescent="0.15">
      <c r="A114" s="10" t="s">
        <v>1675</v>
      </c>
      <c r="B114" s="9" t="s">
        <v>526</v>
      </c>
      <c r="C114" s="8" t="s">
        <v>1003</v>
      </c>
      <c r="D114" s="5" t="s">
        <v>1004</v>
      </c>
      <c r="E114" s="4" t="s">
        <v>412</v>
      </c>
      <c r="F114" s="4" t="s">
        <v>910</v>
      </c>
      <c r="G114" s="7">
        <v>43121</v>
      </c>
      <c r="H114" s="6"/>
      <c r="I114" s="31" t="s">
        <v>1563</v>
      </c>
      <c r="J114" s="5"/>
      <c r="K114" s="7"/>
      <c r="L114" s="6"/>
      <c r="M114" s="5"/>
      <c r="N114" s="2" t="s">
        <v>1565</v>
      </c>
      <c r="Q114" s="3" t="b">
        <f t="shared" si="52"/>
        <v>0</v>
      </c>
      <c r="R114" s="3" t="b">
        <f t="shared" si="53"/>
        <v>0</v>
      </c>
      <c r="T114" s="3" t="b">
        <f t="shared" si="54"/>
        <v>0</v>
      </c>
      <c r="U114" s="3" t="b">
        <f t="shared" si="55"/>
        <v>0</v>
      </c>
      <c r="V114" s="3" t="b">
        <f t="shared" si="56"/>
        <v>0</v>
      </c>
      <c r="W114">
        <f t="shared" si="57"/>
        <v>0</v>
      </c>
    </row>
    <row r="115" spans="1:23" ht="22.5" x14ac:dyDescent="0.15">
      <c r="A115" s="16" t="s">
        <v>935</v>
      </c>
      <c r="B115" s="129" t="s">
        <v>596</v>
      </c>
      <c r="C115" s="130"/>
      <c r="D115" s="15" t="s">
        <v>1011</v>
      </c>
      <c r="E115" s="14" t="s">
        <v>130</v>
      </c>
      <c r="F115" s="13" t="s">
        <v>2495</v>
      </c>
      <c r="G115" s="131" t="s">
        <v>1480</v>
      </c>
      <c r="H115" s="132"/>
      <c r="I115" s="132"/>
      <c r="J115" s="132"/>
      <c r="K115" s="132"/>
      <c r="L115" s="132"/>
      <c r="M115" s="133"/>
    </row>
    <row r="116" spans="1:23" x14ac:dyDescent="0.15">
      <c r="A116" s="134" t="s">
        <v>977</v>
      </c>
      <c r="B116" s="136" t="s">
        <v>920</v>
      </c>
      <c r="C116" s="138" t="s">
        <v>1008</v>
      </c>
      <c r="D116" s="140" t="s">
        <v>1009</v>
      </c>
      <c r="E116" s="142" t="s">
        <v>2118</v>
      </c>
      <c r="F116" s="142" t="s">
        <v>1849</v>
      </c>
      <c r="G116" s="144" t="s">
        <v>994</v>
      </c>
      <c r="H116" s="145"/>
      <c r="I116" s="145"/>
      <c r="J116" s="146"/>
      <c r="K116" s="144" t="s">
        <v>982</v>
      </c>
      <c r="L116" s="145"/>
      <c r="M116" s="147"/>
    </row>
    <row r="117" spans="1:23" x14ac:dyDescent="0.15">
      <c r="A117" s="135"/>
      <c r="B117" s="137"/>
      <c r="C117" s="139"/>
      <c r="D117" s="141"/>
      <c r="E117" s="143"/>
      <c r="F117" s="143"/>
      <c r="G117" s="12" t="s">
        <v>1588</v>
      </c>
      <c r="H117" s="12" t="s">
        <v>1578</v>
      </c>
      <c r="I117" s="12" t="s">
        <v>1562</v>
      </c>
      <c r="J117" s="12" t="s">
        <v>1007</v>
      </c>
      <c r="K117" s="12" t="s">
        <v>1588</v>
      </c>
      <c r="L117" s="12" t="s">
        <v>1578</v>
      </c>
      <c r="M117" s="11" t="s">
        <v>1562</v>
      </c>
    </row>
    <row r="118" spans="1:23" ht="33.75" x14ac:dyDescent="0.15">
      <c r="A118" s="10" t="s">
        <v>2354</v>
      </c>
      <c r="B118" s="9" t="s">
        <v>1059</v>
      </c>
      <c r="C118" s="8" t="s">
        <v>1447</v>
      </c>
      <c r="D118" s="5" t="s">
        <v>1677</v>
      </c>
      <c r="E118" s="4" t="s">
        <v>368</v>
      </c>
      <c r="F118" s="4" t="s">
        <v>315</v>
      </c>
      <c r="G118" s="7">
        <v>43121</v>
      </c>
      <c r="H118" s="6"/>
      <c r="I118" s="31" t="s">
        <v>1563</v>
      </c>
      <c r="J118" s="5"/>
      <c r="K118" s="7"/>
      <c r="L118" s="6"/>
      <c r="M118" s="5"/>
      <c r="N118" s="2" t="s">
        <v>1565</v>
      </c>
      <c r="Q118" s="3" t="b">
        <f t="shared" ref="Q118:Q123" si="58">IF($Q$6&gt;=G118,0)</f>
        <v>0</v>
      </c>
      <c r="R118" s="3" t="b">
        <f t="shared" ref="R118:R123" si="59">IF($R$6&gt;=G118,0)</f>
        <v>0</v>
      </c>
      <c r="T118" s="3" t="b">
        <f t="shared" ref="T118:T123" si="60">IF($T$6&gt;=G118,0)</f>
        <v>0</v>
      </c>
      <c r="U118" s="3" t="b">
        <f t="shared" ref="U118:U123" si="61">IF($U$6&gt;=G118,0)</f>
        <v>0</v>
      </c>
      <c r="V118" s="3" t="b">
        <f t="shared" ref="V118:V123" si="62">IF($V$6&gt;=G118,0)</f>
        <v>0</v>
      </c>
      <c r="W118">
        <f t="shared" ref="W118:W123" si="63">IF($W$6&gt;=G118,0)</f>
        <v>0</v>
      </c>
    </row>
    <row r="119" spans="1:23" ht="33.75" x14ac:dyDescent="0.15">
      <c r="A119" s="10" t="s">
        <v>2217</v>
      </c>
      <c r="B119" s="9" t="s">
        <v>1106</v>
      </c>
      <c r="C119" s="8" t="s">
        <v>1447</v>
      </c>
      <c r="D119" s="5" t="s">
        <v>1677</v>
      </c>
      <c r="E119" s="4" t="s">
        <v>363</v>
      </c>
      <c r="F119" s="4" t="s">
        <v>267</v>
      </c>
      <c r="G119" s="7">
        <v>43121</v>
      </c>
      <c r="H119" s="6"/>
      <c r="I119" s="31" t="s">
        <v>1563</v>
      </c>
      <c r="J119" s="5"/>
      <c r="K119" s="7"/>
      <c r="L119" s="6"/>
      <c r="M119" s="5"/>
      <c r="N119" s="2" t="s">
        <v>1565</v>
      </c>
      <c r="Q119" s="3" t="b">
        <f t="shared" si="58"/>
        <v>0</v>
      </c>
      <c r="R119" s="3" t="b">
        <f t="shared" si="59"/>
        <v>0</v>
      </c>
      <c r="T119" s="3" t="b">
        <f t="shared" si="60"/>
        <v>0</v>
      </c>
      <c r="U119" s="3" t="b">
        <f t="shared" si="61"/>
        <v>0</v>
      </c>
      <c r="V119" s="3" t="b">
        <f t="shared" si="62"/>
        <v>0</v>
      </c>
      <c r="W119">
        <f t="shared" si="63"/>
        <v>0</v>
      </c>
    </row>
    <row r="120" spans="1:23" ht="33.75" x14ac:dyDescent="0.15">
      <c r="A120" s="10" t="s">
        <v>1679</v>
      </c>
      <c r="B120" s="9" t="s">
        <v>218</v>
      </c>
      <c r="C120" s="8" t="s">
        <v>1447</v>
      </c>
      <c r="D120" s="5" t="s">
        <v>1677</v>
      </c>
      <c r="E120" s="4" t="s">
        <v>362</v>
      </c>
      <c r="F120" s="4" t="s">
        <v>281</v>
      </c>
      <c r="G120" s="7">
        <v>43121</v>
      </c>
      <c r="H120" s="6"/>
      <c r="I120" s="31" t="s">
        <v>1563</v>
      </c>
      <c r="J120" s="5"/>
      <c r="K120" s="7"/>
      <c r="L120" s="6"/>
      <c r="M120" s="5"/>
      <c r="N120" s="2" t="s">
        <v>1565</v>
      </c>
      <c r="Q120" s="3" t="b">
        <f t="shared" si="58"/>
        <v>0</v>
      </c>
      <c r="R120" s="3" t="b">
        <f t="shared" si="59"/>
        <v>0</v>
      </c>
      <c r="T120" s="3" t="b">
        <f t="shared" si="60"/>
        <v>0</v>
      </c>
      <c r="U120" s="3" t="b">
        <f t="shared" si="61"/>
        <v>0</v>
      </c>
      <c r="V120" s="3" t="b">
        <f t="shared" si="62"/>
        <v>0</v>
      </c>
      <c r="W120">
        <f t="shared" si="63"/>
        <v>0</v>
      </c>
    </row>
    <row r="121" spans="1:23" ht="33.75" x14ac:dyDescent="0.15">
      <c r="A121" s="10" t="s">
        <v>1819</v>
      </c>
      <c r="B121" s="9" t="s">
        <v>155</v>
      </c>
      <c r="C121" s="8" t="s">
        <v>1447</v>
      </c>
      <c r="D121" s="5" t="s">
        <v>1677</v>
      </c>
      <c r="E121" s="4" t="s">
        <v>371</v>
      </c>
      <c r="F121" s="4" t="s">
        <v>274</v>
      </c>
      <c r="G121" s="7">
        <v>43121</v>
      </c>
      <c r="H121" s="6"/>
      <c r="I121" s="31" t="s">
        <v>1563</v>
      </c>
      <c r="J121" s="5"/>
      <c r="K121" s="7"/>
      <c r="L121" s="6"/>
      <c r="M121" s="5"/>
      <c r="N121" s="2" t="s">
        <v>1565</v>
      </c>
      <c r="Q121" s="3" t="b">
        <f t="shared" si="58"/>
        <v>0</v>
      </c>
      <c r="R121" s="3" t="b">
        <f t="shared" si="59"/>
        <v>0</v>
      </c>
      <c r="T121" s="3" t="b">
        <f t="shared" si="60"/>
        <v>0</v>
      </c>
      <c r="U121" s="3" t="b">
        <f t="shared" si="61"/>
        <v>0</v>
      </c>
      <c r="V121" s="3" t="b">
        <f t="shared" si="62"/>
        <v>0</v>
      </c>
      <c r="W121">
        <f t="shared" si="63"/>
        <v>0</v>
      </c>
    </row>
    <row r="122" spans="1:23" ht="33.75" x14ac:dyDescent="0.15">
      <c r="A122" s="10" t="s">
        <v>2361</v>
      </c>
      <c r="B122" s="9" t="s">
        <v>1141</v>
      </c>
      <c r="C122" s="8" t="s">
        <v>1447</v>
      </c>
      <c r="D122" s="5" t="s">
        <v>1677</v>
      </c>
      <c r="E122" s="4" t="s">
        <v>357</v>
      </c>
      <c r="F122" s="4" t="s">
        <v>289</v>
      </c>
      <c r="G122" s="7">
        <v>43121</v>
      </c>
      <c r="H122" s="6"/>
      <c r="I122" s="31" t="s">
        <v>1563</v>
      </c>
      <c r="J122" s="5"/>
      <c r="K122" s="7"/>
      <c r="L122" s="6"/>
      <c r="M122" s="5"/>
      <c r="N122" s="2" t="s">
        <v>1565</v>
      </c>
      <c r="Q122" s="3" t="b">
        <f t="shared" si="58"/>
        <v>0</v>
      </c>
      <c r="R122" s="3" t="b">
        <f t="shared" si="59"/>
        <v>0</v>
      </c>
      <c r="T122" s="3" t="b">
        <f t="shared" si="60"/>
        <v>0</v>
      </c>
      <c r="U122" s="3" t="b">
        <f t="shared" si="61"/>
        <v>0</v>
      </c>
      <c r="V122" s="3" t="b">
        <f t="shared" si="62"/>
        <v>0</v>
      </c>
      <c r="W122">
        <f t="shared" si="63"/>
        <v>0</v>
      </c>
    </row>
    <row r="123" spans="1:23" ht="33.75" x14ac:dyDescent="0.15">
      <c r="A123" s="10" t="s">
        <v>1660</v>
      </c>
      <c r="B123" s="9" t="s">
        <v>1083</v>
      </c>
      <c r="C123" s="8" t="s">
        <v>1447</v>
      </c>
      <c r="D123" s="5" t="s">
        <v>1677</v>
      </c>
      <c r="E123" s="4" t="s">
        <v>354</v>
      </c>
      <c r="F123" s="4" t="s">
        <v>211</v>
      </c>
      <c r="G123" s="7">
        <v>43121</v>
      </c>
      <c r="H123" s="6"/>
      <c r="I123" s="31" t="s">
        <v>1563</v>
      </c>
      <c r="J123" s="5"/>
      <c r="K123" s="7"/>
      <c r="L123" s="6"/>
      <c r="M123" s="5"/>
      <c r="N123" s="2" t="s">
        <v>1565</v>
      </c>
      <c r="Q123" s="3" t="b">
        <f t="shared" si="58"/>
        <v>0</v>
      </c>
      <c r="R123" s="3" t="b">
        <f t="shared" si="59"/>
        <v>0</v>
      </c>
      <c r="T123" s="3" t="b">
        <f t="shared" si="60"/>
        <v>0</v>
      </c>
      <c r="U123" s="3" t="b">
        <f t="shared" si="61"/>
        <v>0</v>
      </c>
      <c r="V123" s="3" t="b">
        <f t="shared" si="62"/>
        <v>0</v>
      </c>
      <c r="W123">
        <f t="shared" si="63"/>
        <v>0</v>
      </c>
    </row>
    <row r="124" spans="1:23" ht="22.5" x14ac:dyDescent="0.15">
      <c r="A124" s="16" t="s">
        <v>935</v>
      </c>
      <c r="B124" s="129" t="s">
        <v>873</v>
      </c>
      <c r="C124" s="130"/>
      <c r="D124" s="15" t="s">
        <v>1011</v>
      </c>
      <c r="E124" s="14" t="s">
        <v>481</v>
      </c>
      <c r="F124" s="13" t="s">
        <v>2495</v>
      </c>
      <c r="G124" s="131" t="s">
        <v>790</v>
      </c>
      <c r="H124" s="132"/>
      <c r="I124" s="132"/>
      <c r="J124" s="132"/>
      <c r="K124" s="132"/>
      <c r="L124" s="132"/>
      <c r="M124" s="133"/>
    </row>
    <row r="125" spans="1:23" x14ac:dyDescent="0.15">
      <c r="A125" s="134" t="s">
        <v>977</v>
      </c>
      <c r="B125" s="136" t="s">
        <v>920</v>
      </c>
      <c r="C125" s="138" t="s">
        <v>1008</v>
      </c>
      <c r="D125" s="140" t="s">
        <v>1009</v>
      </c>
      <c r="E125" s="142" t="s">
        <v>2118</v>
      </c>
      <c r="F125" s="142" t="s">
        <v>1849</v>
      </c>
      <c r="G125" s="144" t="s">
        <v>994</v>
      </c>
      <c r="H125" s="145"/>
      <c r="I125" s="145"/>
      <c r="J125" s="146"/>
      <c r="K125" s="144" t="s">
        <v>982</v>
      </c>
      <c r="L125" s="145"/>
      <c r="M125" s="147"/>
    </row>
    <row r="126" spans="1:23" x14ac:dyDescent="0.15">
      <c r="A126" s="135"/>
      <c r="B126" s="137"/>
      <c r="C126" s="139"/>
      <c r="D126" s="141"/>
      <c r="E126" s="143"/>
      <c r="F126" s="143"/>
      <c r="G126" s="12" t="s">
        <v>1588</v>
      </c>
      <c r="H126" s="12" t="s">
        <v>1578</v>
      </c>
      <c r="I126" s="12" t="s">
        <v>1562</v>
      </c>
      <c r="J126" s="12" t="s">
        <v>1007</v>
      </c>
      <c r="K126" s="12" t="s">
        <v>1588</v>
      </c>
      <c r="L126" s="12" t="s">
        <v>1578</v>
      </c>
      <c r="M126" s="11" t="s">
        <v>1562</v>
      </c>
    </row>
    <row r="127" spans="1:23" ht="45" x14ac:dyDescent="0.15">
      <c r="A127" s="10" t="s">
        <v>1681</v>
      </c>
      <c r="B127" s="9" t="s">
        <v>500</v>
      </c>
      <c r="C127" s="8" t="s">
        <v>1447</v>
      </c>
      <c r="D127" s="5" t="s">
        <v>1677</v>
      </c>
      <c r="E127" s="4" t="s">
        <v>414</v>
      </c>
      <c r="F127" s="4" t="s">
        <v>103</v>
      </c>
      <c r="G127" s="7">
        <v>43121</v>
      </c>
      <c r="H127" s="6"/>
      <c r="I127" s="31" t="s">
        <v>1563</v>
      </c>
      <c r="J127" s="5"/>
      <c r="K127" s="7"/>
      <c r="L127" s="6"/>
      <c r="M127" s="5"/>
      <c r="N127" s="2" t="s">
        <v>1565</v>
      </c>
      <c r="Q127" s="3" t="b">
        <f>IF($Q$6&gt;=G127,0)</f>
        <v>0</v>
      </c>
      <c r="R127" s="3" t="b">
        <f>IF($R$6&gt;=G127,0)</f>
        <v>0</v>
      </c>
      <c r="T127" s="3" t="b">
        <f>IF($T$6&gt;=G127,0)</f>
        <v>0</v>
      </c>
      <c r="U127" s="3" t="b">
        <f>IF($U$6&gt;=G127,0)</f>
        <v>0</v>
      </c>
      <c r="V127" s="3" t="b">
        <f>IF($V$6&gt;=G127,0)</f>
        <v>0</v>
      </c>
      <c r="W127">
        <f>IF($W$6&gt;=G127,0)</f>
        <v>0</v>
      </c>
    </row>
    <row r="128" spans="1:23" x14ac:dyDescent="0.15">
      <c r="A128" s="16" t="s">
        <v>935</v>
      </c>
      <c r="B128" s="129" t="s">
        <v>638</v>
      </c>
      <c r="C128" s="130"/>
      <c r="D128" s="15" t="s">
        <v>1011</v>
      </c>
      <c r="E128" s="14" t="s">
        <v>1061</v>
      </c>
      <c r="F128" s="13" t="s">
        <v>2495</v>
      </c>
      <c r="G128" s="131" t="s">
        <v>622</v>
      </c>
      <c r="H128" s="132"/>
      <c r="I128" s="132"/>
      <c r="J128" s="132"/>
      <c r="K128" s="132"/>
      <c r="L128" s="132"/>
      <c r="M128" s="133"/>
    </row>
    <row r="129" spans="1:23" x14ac:dyDescent="0.15">
      <c r="A129" s="134" t="s">
        <v>977</v>
      </c>
      <c r="B129" s="136" t="s">
        <v>920</v>
      </c>
      <c r="C129" s="138" t="s">
        <v>1008</v>
      </c>
      <c r="D129" s="140" t="s">
        <v>1009</v>
      </c>
      <c r="E129" s="142" t="s">
        <v>2118</v>
      </c>
      <c r="F129" s="142" t="s">
        <v>1849</v>
      </c>
      <c r="G129" s="144" t="s">
        <v>994</v>
      </c>
      <c r="H129" s="145"/>
      <c r="I129" s="145"/>
      <c r="J129" s="146"/>
      <c r="K129" s="144" t="s">
        <v>982</v>
      </c>
      <c r="L129" s="145"/>
      <c r="M129" s="147"/>
    </row>
    <row r="130" spans="1:23" x14ac:dyDescent="0.15">
      <c r="A130" s="135"/>
      <c r="B130" s="137"/>
      <c r="C130" s="139"/>
      <c r="D130" s="141"/>
      <c r="E130" s="143"/>
      <c r="F130" s="143"/>
      <c r="G130" s="12" t="s">
        <v>1588</v>
      </c>
      <c r="H130" s="12" t="s">
        <v>1578</v>
      </c>
      <c r="I130" s="12" t="s">
        <v>1562</v>
      </c>
      <c r="J130" s="12" t="s">
        <v>1007</v>
      </c>
      <c r="K130" s="12" t="s">
        <v>1588</v>
      </c>
      <c r="L130" s="12" t="s">
        <v>1578</v>
      </c>
      <c r="M130" s="11" t="s">
        <v>1562</v>
      </c>
    </row>
    <row r="131" spans="1:23" ht="25.5" x14ac:dyDescent="0.15">
      <c r="A131" s="10" t="s">
        <v>1648</v>
      </c>
      <c r="B131" s="9" t="s">
        <v>195</v>
      </c>
      <c r="C131" s="8" t="s">
        <v>1447</v>
      </c>
      <c r="D131" s="5" t="s">
        <v>1677</v>
      </c>
      <c r="E131" s="4" t="s">
        <v>518</v>
      </c>
      <c r="F131" s="4" t="s">
        <v>1668</v>
      </c>
      <c r="G131" s="7">
        <v>43121</v>
      </c>
      <c r="H131" s="6"/>
      <c r="I131" s="31" t="s">
        <v>1563</v>
      </c>
      <c r="J131" s="5"/>
      <c r="K131" s="7"/>
      <c r="L131" s="6"/>
      <c r="M131" s="5"/>
      <c r="N131" s="2" t="s">
        <v>1565</v>
      </c>
      <c r="Q131" s="3" t="b">
        <f t="shared" ref="Q131:Q136" si="64">IF($Q$6&gt;=G131,0)</f>
        <v>0</v>
      </c>
      <c r="R131" s="3" t="b">
        <f t="shared" ref="R131:R136" si="65">IF($R$6&gt;=G131,0)</f>
        <v>0</v>
      </c>
      <c r="T131" s="3" t="b">
        <f t="shared" ref="T131:T136" si="66">IF($T$6&gt;=G131,0)</f>
        <v>0</v>
      </c>
      <c r="U131" s="3" t="b">
        <f t="shared" ref="U131:U136" si="67">IF($U$6&gt;=G131,0)</f>
        <v>0</v>
      </c>
      <c r="V131" s="3" t="b">
        <f t="shared" ref="V131:V136" si="68">IF($V$6&gt;=G131,0)</f>
        <v>0</v>
      </c>
      <c r="W131">
        <f t="shared" ref="W131:W136" si="69">IF($W$6&gt;=G131,0)</f>
        <v>0</v>
      </c>
    </row>
    <row r="132" spans="1:23" ht="25.5" x14ac:dyDescent="0.15">
      <c r="A132" s="10" t="s">
        <v>2196</v>
      </c>
      <c r="B132" s="9" t="s">
        <v>1033</v>
      </c>
      <c r="C132" s="8" t="s">
        <v>1447</v>
      </c>
      <c r="D132" s="5" t="s">
        <v>1677</v>
      </c>
      <c r="E132" s="4" t="s">
        <v>518</v>
      </c>
      <c r="F132" s="4" t="s">
        <v>1668</v>
      </c>
      <c r="G132" s="7">
        <v>43121</v>
      </c>
      <c r="H132" s="6"/>
      <c r="I132" s="31" t="s">
        <v>1563</v>
      </c>
      <c r="J132" s="5"/>
      <c r="K132" s="7"/>
      <c r="L132" s="6"/>
      <c r="M132" s="5"/>
      <c r="N132" s="2" t="s">
        <v>1565</v>
      </c>
      <c r="Q132" s="3" t="b">
        <f t="shared" si="64"/>
        <v>0</v>
      </c>
      <c r="R132" s="3" t="b">
        <f t="shared" si="65"/>
        <v>0</v>
      </c>
      <c r="T132" s="3" t="b">
        <f t="shared" si="66"/>
        <v>0</v>
      </c>
      <c r="U132" s="3" t="b">
        <f t="shared" si="67"/>
        <v>0</v>
      </c>
      <c r="V132" s="3" t="b">
        <f t="shared" si="68"/>
        <v>0</v>
      </c>
      <c r="W132">
        <f t="shared" si="69"/>
        <v>0</v>
      </c>
    </row>
    <row r="133" spans="1:23" ht="25.5" x14ac:dyDescent="0.15">
      <c r="A133" s="10" t="s">
        <v>1656</v>
      </c>
      <c r="B133" s="9" t="s">
        <v>1041</v>
      </c>
      <c r="C133" s="8" t="s">
        <v>1447</v>
      </c>
      <c r="D133" s="5" t="s">
        <v>1677</v>
      </c>
      <c r="E133" s="4" t="s">
        <v>518</v>
      </c>
      <c r="F133" s="4" t="s">
        <v>1668</v>
      </c>
      <c r="G133" s="7">
        <v>43121</v>
      </c>
      <c r="H133" s="6"/>
      <c r="I133" s="31" t="s">
        <v>1563</v>
      </c>
      <c r="J133" s="5"/>
      <c r="K133" s="7"/>
      <c r="L133" s="6"/>
      <c r="M133" s="5"/>
      <c r="N133" s="2" t="s">
        <v>1565</v>
      </c>
      <c r="Q133" s="3" t="b">
        <f t="shared" si="64"/>
        <v>0</v>
      </c>
      <c r="R133" s="3" t="b">
        <f t="shared" si="65"/>
        <v>0</v>
      </c>
      <c r="T133" s="3" t="b">
        <f t="shared" si="66"/>
        <v>0</v>
      </c>
      <c r="U133" s="3" t="b">
        <f t="shared" si="67"/>
        <v>0</v>
      </c>
      <c r="V133" s="3" t="b">
        <f t="shared" si="68"/>
        <v>0</v>
      </c>
      <c r="W133">
        <f t="shared" si="69"/>
        <v>0</v>
      </c>
    </row>
    <row r="134" spans="1:23" ht="25.5" x14ac:dyDescent="0.15">
      <c r="A134" s="10" t="s">
        <v>2199</v>
      </c>
      <c r="B134" s="9" t="s">
        <v>1026</v>
      </c>
      <c r="C134" s="8" t="s">
        <v>1447</v>
      </c>
      <c r="D134" s="5" t="s">
        <v>1677</v>
      </c>
      <c r="E134" s="4" t="s">
        <v>518</v>
      </c>
      <c r="F134" s="4" t="s">
        <v>1668</v>
      </c>
      <c r="G134" s="7">
        <v>43121</v>
      </c>
      <c r="H134" s="6"/>
      <c r="I134" s="31" t="s">
        <v>1563</v>
      </c>
      <c r="J134" s="5"/>
      <c r="K134" s="7"/>
      <c r="L134" s="6"/>
      <c r="M134" s="5"/>
      <c r="N134" s="2" t="s">
        <v>1565</v>
      </c>
      <c r="Q134" s="3" t="b">
        <f t="shared" si="64"/>
        <v>0</v>
      </c>
      <c r="R134" s="3" t="b">
        <f t="shared" si="65"/>
        <v>0</v>
      </c>
      <c r="T134" s="3" t="b">
        <f t="shared" si="66"/>
        <v>0</v>
      </c>
      <c r="U134" s="3" t="b">
        <f t="shared" si="67"/>
        <v>0</v>
      </c>
      <c r="V134" s="3" t="b">
        <f t="shared" si="68"/>
        <v>0</v>
      </c>
      <c r="W134">
        <f t="shared" si="69"/>
        <v>0</v>
      </c>
    </row>
    <row r="135" spans="1:23" ht="25.5" x14ac:dyDescent="0.15">
      <c r="A135" s="10" t="s">
        <v>1800</v>
      </c>
      <c r="B135" s="9" t="s">
        <v>1121</v>
      </c>
      <c r="C135" s="8" t="s">
        <v>1447</v>
      </c>
      <c r="D135" s="5" t="s">
        <v>1677</v>
      </c>
      <c r="E135" s="4" t="s">
        <v>518</v>
      </c>
      <c r="F135" s="4" t="s">
        <v>1668</v>
      </c>
      <c r="G135" s="7">
        <v>43121</v>
      </c>
      <c r="H135" s="6"/>
      <c r="I135" s="31" t="s">
        <v>1563</v>
      </c>
      <c r="J135" s="5"/>
      <c r="K135" s="7"/>
      <c r="L135" s="6"/>
      <c r="M135" s="5"/>
      <c r="N135" s="2" t="s">
        <v>1565</v>
      </c>
      <c r="Q135" s="3" t="b">
        <f t="shared" si="64"/>
        <v>0</v>
      </c>
      <c r="R135" s="3" t="b">
        <f t="shared" si="65"/>
        <v>0</v>
      </c>
      <c r="T135" s="3" t="b">
        <f t="shared" si="66"/>
        <v>0</v>
      </c>
      <c r="U135" s="3" t="b">
        <f t="shared" si="67"/>
        <v>0</v>
      </c>
      <c r="V135" s="3" t="b">
        <f t="shared" si="68"/>
        <v>0</v>
      </c>
      <c r="W135">
        <f t="shared" si="69"/>
        <v>0</v>
      </c>
    </row>
    <row r="136" spans="1:23" ht="25.5" x14ac:dyDescent="0.15">
      <c r="A136" s="10" t="s">
        <v>2334</v>
      </c>
      <c r="B136" s="9" t="s">
        <v>1042</v>
      </c>
      <c r="C136" s="8" t="s">
        <v>1447</v>
      </c>
      <c r="D136" s="5" t="s">
        <v>1677</v>
      </c>
      <c r="E136" s="4" t="s">
        <v>518</v>
      </c>
      <c r="F136" s="4" t="s">
        <v>1668</v>
      </c>
      <c r="G136" s="7">
        <v>43121</v>
      </c>
      <c r="H136" s="6"/>
      <c r="I136" s="31" t="s">
        <v>1563</v>
      </c>
      <c r="J136" s="5"/>
      <c r="K136" s="7"/>
      <c r="L136" s="6"/>
      <c r="M136" s="5"/>
      <c r="N136" s="2" t="s">
        <v>1565</v>
      </c>
      <c r="Q136" s="3" t="b">
        <f t="shared" si="64"/>
        <v>0</v>
      </c>
      <c r="R136" s="3" t="b">
        <f t="shared" si="65"/>
        <v>0</v>
      </c>
      <c r="T136" s="3" t="b">
        <f t="shared" si="66"/>
        <v>0</v>
      </c>
      <c r="U136" s="3" t="b">
        <f t="shared" si="67"/>
        <v>0</v>
      </c>
      <c r="V136" s="3" t="b">
        <f t="shared" si="68"/>
        <v>0</v>
      </c>
      <c r="W136">
        <f t="shared" si="69"/>
        <v>0</v>
      </c>
    </row>
    <row r="137" spans="1:23" x14ac:dyDescent="0.15">
      <c r="A137" s="16" t="s">
        <v>935</v>
      </c>
      <c r="B137" s="129" t="s">
        <v>797</v>
      </c>
      <c r="C137" s="130"/>
      <c r="D137" s="15" t="s">
        <v>1011</v>
      </c>
      <c r="E137" s="14" t="s">
        <v>260</v>
      </c>
      <c r="F137" s="13" t="s">
        <v>2495</v>
      </c>
      <c r="G137" s="131" t="s">
        <v>1488</v>
      </c>
      <c r="H137" s="132"/>
      <c r="I137" s="132"/>
      <c r="J137" s="132"/>
      <c r="K137" s="132"/>
      <c r="L137" s="132"/>
      <c r="M137" s="133"/>
    </row>
    <row r="138" spans="1:23" x14ac:dyDescent="0.15">
      <c r="A138" s="134" t="s">
        <v>977</v>
      </c>
      <c r="B138" s="136" t="s">
        <v>920</v>
      </c>
      <c r="C138" s="138" t="s">
        <v>1008</v>
      </c>
      <c r="D138" s="140" t="s">
        <v>1009</v>
      </c>
      <c r="E138" s="142" t="s">
        <v>2118</v>
      </c>
      <c r="F138" s="142" t="s">
        <v>1849</v>
      </c>
      <c r="G138" s="144" t="s">
        <v>994</v>
      </c>
      <c r="H138" s="145"/>
      <c r="I138" s="145"/>
      <c r="J138" s="146"/>
      <c r="K138" s="144" t="s">
        <v>982</v>
      </c>
      <c r="L138" s="145"/>
      <c r="M138" s="147"/>
    </row>
    <row r="139" spans="1:23" x14ac:dyDescent="0.15">
      <c r="A139" s="135"/>
      <c r="B139" s="137"/>
      <c r="C139" s="139"/>
      <c r="D139" s="141"/>
      <c r="E139" s="143"/>
      <c r="F139" s="143"/>
      <c r="G139" s="12" t="s">
        <v>1588</v>
      </c>
      <c r="H139" s="12" t="s">
        <v>1578</v>
      </c>
      <c r="I139" s="12" t="s">
        <v>1562</v>
      </c>
      <c r="J139" s="12" t="s">
        <v>1007</v>
      </c>
      <c r="K139" s="12" t="s">
        <v>1588</v>
      </c>
      <c r="L139" s="12" t="s">
        <v>1578</v>
      </c>
      <c r="M139" s="11" t="s">
        <v>1562</v>
      </c>
    </row>
    <row r="140" spans="1:23" ht="25.5" x14ac:dyDescent="0.15">
      <c r="A140" s="30" t="s">
        <v>2195</v>
      </c>
      <c r="B140" s="47" t="s">
        <v>1087</v>
      </c>
      <c r="C140" s="8" t="s">
        <v>1447</v>
      </c>
      <c r="D140" s="5" t="s">
        <v>1767</v>
      </c>
      <c r="E140" s="48"/>
      <c r="F140" s="48"/>
      <c r="G140" s="7">
        <v>43082</v>
      </c>
      <c r="H140" s="6" t="s">
        <v>951</v>
      </c>
      <c r="I140" s="5" t="s">
        <v>1593</v>
      </c>
      <c r="J140" s="5"/>
      <c r="K140" s="12"/>
      <c r="L140" s="12"/>
      <c r="M140" s="12"/>
      <c r="Q140" s="3" t="b">
        <f t="shared" ref="Q140:Q145" si="70">IF($Q$6&gt;=G140,0)</f>
        <v>0</v>
      </c>
      <c r="R140" s="3">
        <f t="shared" ref="R140:R145" si="71">IF($R$6&gt;=G140,0)</f>
        <v>0</v>
      </c>
      <c r="S140" s="3">
        <f t="shared" ref="S140:S144" si="72">IF($S$6&gt;=G140,0)</f>
        <v>0</v>
      </c>
      <c r="T140" s="3">
        <f t="shared" ref="T140:T145" si="73">IF($T$6&gt;=G140,0)</f>
        <v>0</v>
      </c>
      <c r="U140" s="3">
        <f t="shared" ref="U140:U145" si="74">IF($U$6&gt;=G140,0)</f>
        <v>0</v>
      </c>
      <c r="V140" s="3">
        <f t="shared" ref="V140:V145" si="75">IF($V$6&gt;=G140,0)</f>
        <v>0</v>
      </c>
      <c r="W140">
        <f t="shared" ref="W140:W145" si="76">IF($W$6&gt;=G140,0)</f>
        <v>0</v>
      </c>
    </row>
    <row r="141" spans="1:23" ht="45" x14ac:dyDescent="0.15">
      <c r="A141" s="30" t="s">
        <v>1694</v>
      </c>
      <c r="B141" s="47" t="s">
        <v>734</v>
      </c>
      <c r="C141" s="8" t="s">
        <v>1447</v>
      </c>
      <c r="D141" s="5" t="s">
        <v>1767</v>
      </c>
      <c r="E141" s="4" t="s">
        <v>768</v>
      </c>
      <c r="F141" s="48"/>
      <c r="G141" s="7">
        <v>43098</v>
      </c>
      <c r="H141" s="6" t="s">
        <v>951</v>
      </c>
      <c r="I141" s="5" t="s">
        <v>1580</v>
      </c>
      <c r="J141" s="5"/>
      <c r="K141" s="12"/>
      <c r="L141" s="12"/>
      <c r="M141" s="12"/>
      <c r="Q141" s="3" t="b">
        <f t="shared" si="70"/>
        <v>0</v>
      </c>
      <c r="R141" s="3" t="b">
        <f t="shared" si="71"/>
        <v>0</v>
      </c>
      <c r="S141" s="3">
        <f t="shared" si="72"/>
        <v>0</v>
      </c>
      <c r="T141" s="3">
        <f t="shared" si="73"/>
        <v>0</v>
      </c>
      <c r="U141" s="3">
        <f t="shared" si="74"/>
        <v>0</v>
      </c>
      <c r="V141" s="3">
        <f t="shared" si="75"/>
        <v>0</v>
      </c>
      <c r="W141">
        <f t="shared" si="76"/>
        <v>0</v>
      </c>
    </row>
    <row r="142" spans="1:23" ht="45" x14ac:dyDescent="0.15">
      <c r="A142" s="30" t="s">
        <v>1815</v>
      </c>
      <c r="B142" s="47" t="s">
        <v>1218</v>
      </c>
      <c r="C142" s="8" t="s">
        <v>1447</v>
      </c>
      <c r="D142" s="5" t="s">
        <v>1767</v>
      </c>
      <c r="E142" s="4" t="s">
        <v>768</v>
      </c>
      <c r="F142" s="48"/>
      <c r="G142" s="7">
        <v>43098</v>
      </c>
      <c r="H142" s="6" t="s">
        <v>951</v>
      </c>
      <c r="I142" s="5" t="s">
        <v>1579</v>
      </c>
      <c r="J142" s="5"/>
      <c r="K142" s="12"/>
      <c r="L142" s="12"/>
      <c r="M142" s="12"/>
      <c r="Q142" s="3" t="b">
        <f t="shared" si="70"/>
        <v>0</v>
      </c>
      <c r="R142" s="3" t="b">
        <f t="shared" si="71"/>
        <v>0</v>
      </c>
      <c r="S142" s="3">
        <f t="shared" si="72"/>
        <v>0</v>
      </c>
      <c r="T142" s="3">
        <f t="shared" si="73"/>
        <v>0</v>
      </c>
      <c r="U142" s="3">
        <f t="shared" si="74"/>
        <v>0</v>
      </c>
      <c r="V142" s="3">
        <f t="shared" si="75"/>
        <v>0</v>
      </c>
      <c r="W142">
        <f t="shared" si="76"/>
        <v>0</v>
      </c>
    </row>
    <row r="143" spans="1:23" ht="45" x14ac:dyDescent="0.15">
      <c r="A143" s="10" t="s">
        <v>1774</v>
      </c>
      <c r="B143" s="9" t="s">
        <v>1211</v>
      </c>
      <c r="C143" s="8" t="s">
        <v>1447</v>
      </c>
      <c r="D143" s="5" t="s">
        <v>1767</v>
      </c>
      <c r="E143" s="4" t="s">
        <v>768</v>
      </c>
      <c r="F143" s="4" t="s">
        <v>1170</v>
      </c>
      <c r="G143" s="7">
        <v>43090</v>
      </c>
      <c r="H143" s="6" t="s">
        <v>951</v>
      </c>
      <c r="I143" s="5" t="s">
        <v>1573</v>
      </c>
      <c r="J143" s="5"/>
      <c r="K143" s="7"/>
      <c r="L143" s="6"/>
      <c r="M143" s="5"/>
      <c r="Q143" s="3" t="b">
        <f t="shared" si="70"/>
        <v>0</v>
      </c>
      <c r="R143" s="3">
        <f t="shared" si="71"/>
        <v>0</v>
      </c>
      <c r="S143" s="3">
        <f t="shared" si="72"/>
        <v>0</v>
      </c>
      <c r="T143" s="3">
        <f t="shared" si="73"/>
        <v>0</v>
      </c>
      <c r="U143" s="3">
        <f t="shared" si="74"/>
        <v>0</v>
      </c>
      <c r="V143" s="3">
        <f t="shared" si="75"/>
        <v>0</v>
      </c>
      <c r="W143">
        <f t="shared" si="76"/>
        <v>0</v>
      </c>
    </row>
    <row r="144" spans="1:23" ht="45" x14ac:dyDescent="0.15">
      <c r="A144" s="10" t="s">
        <v>2348</v>
      </c>
      <c r="B144" s="9" t="s">
        <v>1213</v>
      </c>
      <c r="C144" s="8" t="s">
        <v>1447</v>
      </c>
      <c r="D144" s="5" t="s">
        <v>1767</v>
      </c>
      <c r="E144" s="4" t="s">
        <v>768</v>
      </c>
      <c r="F144" s="4" t="s">
        <v>378</v>
      </c>
      <c r="G144" s="7">
        <v>43082</v>
      </c>
      <c r="H144" s="6" t="s">
        <v>951</v>
      </c>
      <c r="I144" s="5" t="s">
        <v>1579</v>
      </c>
      <c r="J144" s="5"/>
      <c r="K144" s="7"/>
      <c r="L144" s="6"/>
      <c r="M144" s="5"/>
      <c r="Q144" s="3" t="b">
        <f t="shared" si="70"/>
        <v>0</v>
      </c>
      <c r="R144" s="3">
        <f t="shared" si="71"/>
        <v>0</v>
      </c>
      <c r="S144" s="3">
        <f t="shared" si="72"/>
        <v>0</v>
      </c>
      <c r="T144" s="3">
        <f t="shared" si="73"/>
        <v>0</v>
      </c>
      <c r="U144" s="3">
        <f t="shared" si="74"/>
        <v>0</v>
      </c>
      <c r="V144" s="3">
        <f t="shared" si="75"/>
        <v>0</v>
      </c>
      <c r="W144">
        <f t="shared" si="76"/>
        <v>0</v>
      </c>
    </row>
    <row r="145" spans="1:23" ht="45" x14ac:dyDescent="0.15">
      <c r="A145" s="10" t="s">
        <v>1762</v>
      </c>
      <c r="B145" s="9" t="s">
        <v>1045</v>
      </c>
      <c r="C145" s="8" t="s">
        <v>1447</v>
      </c>
      <c r="D145" s="5" t="s">
        <v>1767</v>
      </c>
      <c r="E145" s="4" t="s">
        <v>768</v>
      </c>
      <c r="F145" s="4" t="s">
        <v>391</v>
      </c>
      <c r="G145" s="7">
        <v>43112</v>
      </c>
      <c r="H145" s="6"/>
      <c r="I145" s="5" t="s">
        <v>1579</v>
      </c>
      <c r="J145" s="5"/>
      <c r="K145" s="7"/>
      <c r="L145" s="6"/>
      <c r="M145" s="5"/>
      <c r="Q145" s="3" t="b">
        <f t="shared" si="70"/>
        <v>0</v>
      </c>
      <c r="R145" s="3" t="b">
        <f t="shared" si="71"/>
        <v>0</v>
      </c>
      <c r="T145" s="3" t="b">
        <f t="shared" si="73"/>
        <v>0</v>
      </c>
      <c r="U145" s="3" t="b">
        <f t="shared" si="74"/>
        <v>0</v>
      </c>
      <c r="V145" s="3">
        <f t="shared" si="75"/>
        <v>0</v>
      </c>
      <c r="W145">
        <f t="shared" si="76"/>
        <v>0</v>
      </c>
    </row>
    <row r="146" spans="1:23" x14ac:dyDescent="0.15">
      <c r="A146" s="16" t="s">
        <v>935</v>
      </c>
      <c r="B146" s="129" t="s">
        <v>820</v>
      </c>
      <c r="C146" s="130"/>
      <c r="D146" s="15" t="s">
        <v>1011</v>
      </c>
      <c r="E146" s="14" t="s">
        <v>153</v>
      </c>
      <c r="F146" s="13" t="s">
        <v>2495</v>
      </c>
      <c r="G146" s="131" t="s">
        <v>830</v>
      </c>
      <c r="H146" s="132"/>
      <c r="I146" s="132"/>
      <c r="J146" s="132"/>
      <c r="K146" s="132"/>
      <c r="L146" s="132"/>
      <c r="M146" s="133"/>
    </row>
    <row r="147" spans="1:23" x14ac:dyDescent="0.15">
      <c r="A147" s="134" t="s">
        <v>977</v>
      </c>
      <c r="B147" s="136" t="s">
        <v>920</v>
      </c>
      <c r="C147" s="138" t="s">
        <v>1008</v>
      </c>
      <c r="D147" s="140" t="s">
        <v>1009</v>
      </c>
      <c r="E147" s="142" t="s">
        <v>2118</v>
      </c>
      <c r="F147" s="142" t="s">
        <v>1849</v>
      </c>
      <c r="G147" s="144" t="s">
        <v>994</v>
      </c>
      <c r="H147" s="145"/>
      <c r="I147" s="145"/>
      <c r="J147" s="146"/>
      <c r="K147" s="144" t="s">
        <v>982</v>
      </c>
      <c r="L147" s="145"/>
      <c r="M147" s="147"/>
    </row>
    <row r="148" spans="1:23" x14ac:dyDescent="0.15">
      <c r="A148" s="135"/>
      <c r="B148" s="137"/>
      <c r="C148" s="139"/>
      <c r="D148" s="141"/>
      <c r="E148" s="143"/>
      <c r="F148" s="143"/>
      <c r="G148" s="12" t="s">
        <v>1588</v>
      </c>
      <c r="H148" s="12" t="s">
        <v>1578</v>
      </c>
      <c r="I148" s="12" t="s">
        <v>1562</v>
      </c>
      <c r="J148" s="12" t="s">
        <v>1007</v>
      </c>
      <c r="K148" s="12" t="s">
        <v>1588</v>
      </c>
      <c r="L148" s="12" t="s">
        <v>1578</v>
      </c>
      <c r="M148" s="11" t="s">
        <v>1562</v>
      </c>
    </row>
    <row r="149" spans="1:23" ht="25.5" x14ac:dyDescent="0.15">
      <c r="A149" s="10" t="s">
        <v>1657</v>
      </c>
      <c r="B149" s="47" t="s">
        <v>1099</v>
      </c>
      <c r="C149" s="8" t="s">
        <v>1447</v>
      </c>
      <c r="D149" s="5" t="s">
        <v>2609</v>
      </c>
      <c r="E149" s="48"/>
      <c r="F149" s="48"/>
      <c r="G149" s="7">
        <v>43082</v>
      </c>
      <c r="H149" s="6" t="s">
        <v>951</v>
      </c>
      <c r="I149" s="5" t="s">
        <v>1593</v>
      </c>
      <c r="J149" s="5"/>
      <c r="K149" s="12"/>
      <c r="L149" s="12"/>
      <c r="M149" s="12"/>
      <c r="Q149" s="3" t="b">
        <f t="shared" ref="Q149:Q154" si="77">IF($Q$6&gt;=G149,0)</f>
        <v>0</v>
      </c>
      <c r="R149" s="3">
        <f t="shared" ref="R149:R154" si="78">IF($R$6&gt;=G149,0)</f>
        <v>0</v>
      </c>
      <c r="S149" s="3">
        <f t="shared" ref="S149:S153" si="79">IF($S$6&gt;=G149,0)</f>
        <v>0</v>
      </c>
      <c r="T149" s="3">
        <f t="shared" ref="T149:T154" si="80">IF($T$6&gt;=G149,0)</f>
        <v>0</v>
      </c>
      <c r="U149" s="3">
        <f t="shared" ref="U149:U154" si="81">IF($U$6&gt;=G149,0)</f>
        <v>0</v>
      </c>
      <c r="V149" s="3">
        <f t="shared" ref="V149:V154" si="82">IF($V$6&gt;=G149,0)</f>
        <v>0</v>
      </c>
      <c r="W149">
        <f t="shared" ref="W149:W154" si="83">IF($W$6&gt;=G149,0)</f>
        <v>0</v>
      </c>
    </row>
    <row r="150" spans="1:23" ht="45" x14ac:dyDescent="0.15">
      <c r="A150" s="10" t="s">
        <v>2355</v>
      </c>
      <c r="B150" s="47" t="s">
        <v>1333</v>
      </c>
      <c r="C150" s="8" t="s">
        <v>1447</v>
      </c>
      <c r="D150" s="5" t="s">
        <v>2609</v>
      </c>
      <c r="E150" s="4" t="s">
        <v>768</v>
      </c>
      <c r="F150" s="48"/>
      <c r="G150" s="7">
        <v>43098</v>
      </c>
      <c r="H150" s="6" t="s">
        <v>951</v>
      </c>
      <c r="I150" s="5" t="s">
        <v>1580</v>
      </c>
      <c r="J150" s="5"/>
      <c r="K150" s="12"/>
      <c r="L150" s="12"/>
      <c r="M150" s="12"/>
      <c r="Q150" s="3" t="b">
        <f t="shared" si="77"/>
        <v>0</v>
      </c>
      <c r="R150" s="3" t="b">
        <f t="shared" si="78"/>
        <v>0</v>
      </c>
      <c r="S150" s="3">
        <f t="shared" si="79"/>
        <v>0</v>
      </c>
      <c r="T150" s="3">
        <f t="shared" si="80"/>
        <v>0</v>
      </c>
      <c r="U150" s="3">
        <f t="shared" si="81"/>
        <v>0</v>
      </c>
      <c r="V150" s="3">
        <f t="shared" si="82"/>
        <v>0</v>
      </c>
      <c r="W150">
        <f t="shared" si="83"/>
        <v>0</v>
      </c>
    </row>
    <row r="151" spans="1:23" ht="45" x14ac:dyDescent="0.15">
      <c r="A151" s="10" t="s">
        <v>1809</v>
      </c>
      <c r="B151" s="47" t="s">
        <v>1206</v>
      </c>
      <c r="C151" s="8" t="s">
        <v>1447</v>
      </c>
      <c r="D151" s="5" t="s">
        <v>2609</v>
      </c>
      <c r="E151" s="4" t="s">
        <v>768</v>
      </c>
      <c r="F151" s="48"/>
      <c r="G151" s="7">
        <v>43098</v>
      </c>
      <c r="H151" s="6" t="s">
        <v>951</v>
      </c>
      <c r="I151" s="5" t="s">
        <v>1579</v>
      </c>
      <c r="J151" s="5"/>
      <c r="K151" s="12"/>
      <c r="L151" s="12"/>
      <c r="M151" s="12"/>
      <c r="Q151" s="3" t="b">
        <f t="shared" si="77"/>
        <v>0</v>
      </c>
      <c r="R151" s="3" t="b">
        <f t="shared" si="78"/>
        <v>0</v>
      </c>
      <c r="S151" s="3">
        <f t="shared" si="79"/>
        <v>0</v>
      </c>
      <c r="T151" s="3">
        <f t="shared" si="80"/>
        <v>0</v>
      </c>
      <c r="U151" s="3">
        <f t="shared" si="81"/>
        <v>0</v>
      </c>
      <c r="V151" s="3">
        <f t="shared" si="82"/>
        <v>0</v>
      </c>
      <c r="W151">
        <f t="shared" si="83"/>
        <v>0</v>
      </c>
    </row>
    <row r="152" spans="1:23" ht="45" x14ac:dyDescent="0.15">
      <c r="A152" s="10" t="s">
        <v>1796</v>
      </c>
      <c r="B152" s="47" t="s">
        <v>705</v>
      </c>
      <c r="C152" s="8" t="s">
        <v>1447</v>
      </c>
      <c r="D152" s="5" t="s">
        <v>2609</v>
      </c>
      <c r="E152" s="4" t="s">
        <v>768</v>
      </c>
      <c r="F152" s="4" t="s">
        <v>1170</v>
      </c>
      <c r="G152" s="7">
        <v>43090</v>
      </c>
      <c r="H152" s="6" t="s">
        <v>951</v>
      </c>
      <c r="I152" s="5" t="s">
        <v>1573</v>
      </c>
      <c r="J152" s="5"/>
      <c r="K152" s="7"/>
      <c r="L152" s="6"/>
      <c r="M152" s="5"/>
      <c r="Q152" s="3" t="b">
        <f t="shared" si="77"/>
        <v>0</v>
      </c>
      <c r="R152" s="3">
        <f t="shared" si="78"/>
        <v>0</v>
      </c>
      <c r="S152" s="3">
        <f t="shared" si="79"/>
        <v>0</v>
      </c>
      <c r="T152" s="3">
        <f t="shared" si="80"/>
        <v>0</v>
      </c>
      <c r="U152" s="3">
        <f t="shared" si="81"/>
        <v>0</v>
      </c>
      <c r="V152" s="3">
        <f t="shared" si="82"/>
        <v>0</v>
      </c>
      <c r="W152">
        <f t="shared" si="83"/>
        <v>0</v>
      </c>
    </row>
    <row r="153" spans="1:23" ht="45" x14ac:dyDescent="0.15">
      <c r="A153" s="10" t="s">
        <v>2605</v>
      </c>
      <c r="B153" s="9" t="s">
        <v>1252</v>
      </c>
      <c r="C153" s="8" t="s">
        <v>1447</v>
      </c>
      <c r="D153" s="5" t="s">
        <v>2609</v>
      </c>
      <c r="E153" s="4" t="s">
        <v>768</v>
      </c>
      <c r="F153" s="4" t="s">
        <v>378</v>
      </c>
      <c r="G153" s="7">
        <v>43082</v>
      </c>
      <c r="H153" s="6" t="s">
        <v>951</v>
      </c>
      <c r="I153" s="5" t="s">
        <v>1579</v>
      </c>
      <c r="J153" s="5"/>
      <c r="K153" s="7"/>
      <c r="L153" s="6"/>
      <c r="M153" s="5"/>
      <c r="Q153" s="3" t="b">
        <f t="shared" si="77"/>
        <v>0</v>
      </c>
      <c r="R153" s="3">
        <f t="shared" si="78"/>
        <v>0</v>
      </c>
      <c r="S153" s="3">
        <f t="shared" si="79"/>
        <v>0</v>
      </c>
      <c r="T153" s="3">
        <f t="shared" si="80"/>
        <v>0</v>
      </c>
      <c r="U153" s="3">
        <f t="shared" si="81"/>
        <v>0</v>
      </c>
      <c r="V153" s="3">
        <f t="shared" si="82"/>
        <v>0</v>
      </c>
      <c r="W153">
        <f t="shared" si="83"/>
        <v>0</v>
      </c>
    </row>
    <row r="154" spans="1:23" ht="45" x14ac:dyDescent="0.15">
      <c r="A154" s="10" t="s">
        <v>2226</v>
      </c>
      <c r="B154" s="9" t="s">
        <v>1043</v>
      </c>
      <c r="C154" s="8" t="s">
        <v>1447</v>
      </c>
      <c r="D154" s="5" t="s">
        <v>2609</v>
      </c>
      <c r="E154" s="4" t="s">
        <v>768</v>
      </c>
      <c r="F154" s="4" t="s">
        <v>391</v>
      </c>
      <c r="G154" s="7">
        <v>43112</v>
      </c>
      <c r="H154" s="6"/>
      <c r="I154" s="5" t="s">
        <v>1579</v>
      </c>
      <c r="J154" s="5"/>
      <c r="K154" s="7"/>
      <c r="L154" s="6"/>
      <c r="M154" s="5"/>
      <c r="Q154" s="3" t="b">
        <f t="shared" si="77"/>
        <v>0</v>
      </c>
      <c r="R154" s="3" t="b">
        <f t="shared" si="78"/>
        <v>0</v>
      </c>
      <c r="T154" s="3" t="b">
        <f t="shared" si="80"/>
        <v>0</v>
      </c>
      <c r="U154" s="3" t="b">
        <f t="shared" si="81"/>
        <v>0</v>
      </c>
      <c r="V154" s="3">
        <f t="shared" si="82"/>
        <v>0</v>
      </c>
      <c r="W154">
        <f t="shared" si="83"/>
        <v>0</v>
      </c>
    </row>
    <row r="155" spans="1:23" x14ac:dyDescent="0.15">
      <c r="A155" s="16" t="s">
        <v>935</v>
      </c>
      <c r="B155" s="129" t="s">
        <v>665</v>
      </c>
      <c r="C155" s="130"/>
      <c r="D155" s="15" t="s">
        <v>1011</v>
      </c>
      <c r="E155" s="14" t="s">
        <v>1120</v>
      </c>
      <c r="F155" s="13" t="s">
        <v>2495</v>
      </c>
      <c r="G155" s="131" t="s">
        <v>1543</v>
      </c>
      <c r="H155" s="132"/>
      <c r="I155" s="132"/>
      <c r="J155" s="132"/>
      <c r="K155" s="132"/>
      <c r="L155" s="132"/>
      <c r="M155" s="133"/>
    </row>
    <row r="156" spans="1:23" x14ac:dyDescent="0.15">
      <c r="A156" s="134" t="s">
        <v>977</v>
      </c>
      <c r="B156" s="136" t="s">
        <v>920</v>
      </c>
      <c r="C156" s="138" t="s">
        <v>1008</v>
      </c>
      <c r="D156" s="140" t="s">
        <v>1009</v>
      </c>
      <c r="E156" s="142" t="s">
        <v>2118</v>
      </c>
      <c r="F156" s="142" t="s">
        <v>1849</v>
      </c>
      <c r="G156" s="144" t="s">
        <v>994</v>
      </c>
      <c r="H156" s="145"/>
      <c r="I156" s="145"/>
      <c r="J156" s="146"/>
      <c r="K156" s="144" t="s">
        <v>982</v>
      </c>
      <c r="L156" s="145"/>
      <c r="M156" s="147"/>
    </row>
    <row r="157" spans="1:23" x14ac:dyDescent="0.15">
      <c r="A157" s="135"/>
      <c r="B157" s="137"/>
      <c r="C157" s="139"/>
      <c r="D157" s="141"/>
      <c r="E157" s="143"/>
      <c r="F157" s="143"/>
      <c r="G157" s="12" t="s">
        <v>1588</v>
      </c>
      <c r="H157" s="12" t="s">
        <v>1578</v>
      </c>
      <c r="I157" s="12" t="s">
        <v>1562</v>
      </c>
      <c r="J157" s="12" t="s">
        <v>1007</v>
      </c>
      <c r="K157" s="12" t="s">
        <v>1588</v>
      </c>
      <c r="L157" s="12" t="s">
        <v>1578</v>
      </c>
      <c r="M157" s="11" t="s">
        <v>1562</v>
      </c>
    </row>
    <row r="158" spans="1:23" ht="45" x14ac:dyDescent="0.15">
      <c r="A158" s="10" t="s">
        <v>1623</v>
      </c>
      <c r="B158" s="9" t="s">
        <v>808</v>
      </c>
      <c r="C158" s="8" t="s">
        <v>1447</v>
      </c>
      <c r="D158" s="5" t="s">
        <v>913</v>
      </c>
      <c r="E158" s="4" t="s">
        <v>451</v>
      </c>
      <c r="F158" s="4" t="s">
        <v>466</v>
      </c>
      <c r="G158" s="7">
        <v>43090</v>
      </c>
      <c r="H158" s="6" t="s">
        <v>951</v>
      </c>
      <c r="I158" s="5" t="s">
        <v>1573</v>
      </c>
      <c r="J158" s="5"/>
      <c r="K158" s="7"/>
      <c r="L158" s="6"/>
      <c r="M158" s="5"/>
      <c r="Q158" s="3" t="b">
        <f t="shared" ref="Q158:Q160" si="84">IF($Q$6&gt;=G158,0)</f>
        <v>0</v>
      </c>
      <c r="R158" s="3">
        <f t="shared" ref="R158:R160" si="85">IF($R$6&gt;=G158,0)</f>
        <v>0</v>
      </c>
      <c r="S158" s="3">
        <f t="shared" ref="S158:S160" si="86">IF($S$6&gt;=G158,0)</f>
        <v>0</v>
      </c>
      <c r="T158" s="3">
        <f t="shared" ref="T158:T160" si="87">IF($T$6&gt;=G158,0)</f>
        <v>0</v>
      </c>
      <c r="U158" s="3">
        <f t="shared" ref="U158:U160" si="88">IF($U$6&gt;=G158,0)</f>
        <v>0</v>
      </c>
      <c r="V158" s="3">
        <f t="shared" ref="V158:V160" si="89">IF($V$6&gt;=G158,0)</f>
        <v>0</v>
      </c>
      <c r="W158">
        <f t="shared" ref="W158:W160" si="90">IF($W$6&gt;=G158,0)</f>
        <v>0</v>
      </c>
    </row>
    <row r="159" spans="1:23" ht="33.75" x14ac:dyDescent="0.15">
      <c r="A159" s="10" t="s">
        <v>1829</v>
      </c>
      <c r="B159" s="9" t="s">
        <v>905</v>
      </c>
      <c r="C159" s="8" t="s">
        <v>1447</v>
      </c>
      <c r="D159" s="5" t="s">
        <v>913</v>
      </c>
      <c r="E159" s="4" t="s">
        <v>79</v>
      </c>
      <c r="F159" s="4" t="s">
        <v>2624</v>
      </c>
      <c r="G159" s="7">
        <v>43090</v>
      </c>
      <c r="H159" s="6" t="s">
        <v>951</v>
      </c>
      <c r="I159" s="5" t="s">
        <v>1573</v>
      </c>
      <c r="J159" s="5"/>
      <c r="K159" s="7"/>
      <c r="L159" s="6"/>
      <c r="M159" s="5"/>
      <c r="Q159" s="3" t="b">
        <f t="shared" si="84"/>
        <v>0</v>
      </c>
      <c r="R159" s="3">
        <f t="shared" si="85"/>
        <v>0</v>
      </c>
      <c r="S159" s="3">
        <f t="shared" si="86"/>
        <v>0</v>
      </c>
      <c r="T159" s="3">
        <f t="shared" si="87"/>
        <v>0</v>
      </c>
      <c r="U159" s="3">
        <f t="shared" si="88"/>
        <v>0</v>
      </c>
      <c r="V159" s="3">
        <f t="shared" si="89"/>
        <v>0</v>
      </c>
      <c r="W159">
        <f t="shared" si="90"/>
        <v>0</v>
      </c>
    </row>
    <row r="160" spans="1:23" ht="45" x14ac:dyDescent="0.15">
      <c r="A160" s="10" t="s">
        <v>2191</v>
      </c>
      <c r="B160" s="9" t="s">
        <v>1402</v>
      </c>
      <c r="C160" s="8" t="s">
        <v>1447</v>
      </c>
      <c r="D160" s="5" t="s">
        <v>2611</v>
      </c>
      <c r="E160" s="4" t="s">
        <v>31</v>
      </c>
      <c r="F160" s="4" t="s">
        <v>151</v>
      </c>
      <c r="G160" s="7">
        <v>43090</v>
      </c>
      <c r="H160" s="6" t="s">
        <v>951</v>
      </c>
      <c r="I160" s="5" t="s">
        <v>1573</v>
      </c>
      <c r="J160" s="5"/>
      <c r="K160" s="7"/>
      <c r="L160" s="6"/>
      <c r="M160" s="5"/>
      <c r="Q160" s="3" t="b">
        <f t="shared" si="84"/>
        <v>0</v>
      </c>
      <c r="R160" s="3">
        <f t="shared" si="85"/>
        <v>0</v>
      </c>
      <c r="S160" s="3">
        <f t="shared" si="86"/>
        <v>0</v>
      </c>
      <c r="T160" s="3">
        <f t="shared" si="87"/>
        <v>0</v>
      </c>
      <c r="U160" s="3">
        <f t="shared" si="88"/>
        <v>0</v>
      </c>
      <c r="V160" s="3">
        <f t="shared" si="89"/>
        <v>0</v>
      </c>
      <c r="W160">
        <f t="shared" si="90"/>
        <v>0</v>
      </c>
    </row>
    <row r="161" spans="1:23" x14ac:dyDescent="0.15">
      <c r="A161" s="16" t="s">
        <v>935</v>
      </c>
      <c r="B161" s="129" t="s">
        <v>46</v>
      </c>
      <c r="C161" s="130"/>
      <c r="D161" s="15" t="s">
        <v>1011</v>
      </c>
      <c r="E161" s="14" t="s">
        <v>1186</v>
      </c>
      <c r="F161" s="13" t="s">
        <v>2495</v>
      </c>
      <c r="G161" s="131" t="s">
        <v>1411</v>
      </c>
      <c r="H161" s="132"/>
      <c r="I161" s="132"/>
      <c r="J161" s="132"/>
      <c r="K161" s="132"/>
      <c r="L161" s="132"/>
      <c r="M161" s="133"/>
    </row>
    <row r="162" spans="1:23" x14ac:dyDescent="0.15">
      <c r="A162" s="134" t="s">
        <v>977</v>
      </c>
      <c r="B162" s="136" t="s">
        <v>920</v>
      </c>
      <c r="C162" s="138" t="s">
        <v>1008</v>
      </c>
      <c r="D162" s="140" t="s">
        <v>1009</v>
      </c>
      <c r="E162" s="142" t="s">
        <v>2118</v>
      </c>
      <c r="F162" s="142" t="s">
        <v>1849</v>
      </c>
      <c r="G162" s="144" t="s">
        <v>994</v>
      </c>
      <c r="H162" s="145"/>
      <c r="I162" s="145"/>
      <c r="J162" s="146"/>
      <c r="K162" s="144" t="s">
        <v>982</v>
      </c>
      <c r="L162" s="145"/>
      <c r="M162" s="147"/>
    </row>
    <row r="163" spans="1:23" x14ac:dyDescent="0.15">
      <c r="A163" s="135"/>
      <c r="B163" s="137"/>
      <c r="C163" s="139"/>
      <c r="D163" s="141"/>
      <c r="E163" s="143"/>
      <c r="F163" s="143"/>
      <c r="G163" s="12" t="s">
        <v>1588</v>
      </c>
      <c r="H163" s="12" t="s">
        <v>1578</v>
      </c>
      <c r="I163" s="12" t="s">
        <v>1562</v>
      </c>
      <c r="J163" s="12" t="s">
        <v>1007</v>
      </c>
      <c r="K163" s="12" t="s">
        <v>1588</v>
      </c>
      <c r="L163" s="12" t="s">
        <v>1578</v>
      </c>
      <c r="M163" s="11" t="s">
        <v>1562</v>
      </c>
    </row>
    <row r="164" spans="1:23" ht="45" x14ac:dyDescent="0.15">
      <c r="A164" s="10" t="s">
        <v>1817</v>
      </c>
      <c r="B164" s="9" t="s">
        <v>41</v>
      </c>
      <c r="C164" s="8" t="s">
        <v>1447</v>
      </c>
      <c r="D164" s="5" t="s">
        <v>956</v>
      </c>
      <c r="E164" s="4" t="s">
        <v>453</v>
      </c>
      <c r="F164" s="4" t="s">
        <v>466</v>
      </c>
      <c r="G164" s="7">
        <v>43098</v>
      </c>
      <c r="H164" s="6" t="s">
        <v>951</v>
      </c>
      <c r="I164" s="5" t="s">
        <v>1579</v>
      </c>
      <c r="J164" s="5"/>
      <c r="K164" s="7"/>
      <c r="L164" s="6"/>
      <c r="M164" s="5"/>
      <c r="N164" s="2" t="s">
        <v>1568</v>
      </c>
      <c r="Q164" s="3" t="b">
        <f t="shared" ref="Q164:Q166" si="91">IF($Q$6&gt;=G164,0)</f>
        <v>0</v>
      </c>
      <c r="R164" s="3" t="b">
        <f t="shared" ref="R164:R166" si="92">IF($R$6&gt;=G164,0)</f>
        <v>0</v>
      </c>
      <c r="S164" s="3">
        <f t="shared" ref="S164:S166" si="93">IF($S$6&gt;=G164,0)</f>
        <v>0</v>
      </c>
      <c r="T164" s="3">
        <f t="shared" ref="T164:T166" si="94">IF($T$6&gt;=G164,0)</f>
        <v>0</v>
      </c>
      <c r="U164" s="3">
        <f t="shared" ref="U164:U166" si="95">IF($U$6&gt;=G164,0)</f>
        <v>0</v>
      </c>
      <c r="V164" s="3">
        <f t="shared" ref="V164:V166" si="96">IF($V$6&gt;=G164,0)</f>
        <v>0</v>
      </c>
      <c r="W164">
        <f t="shared" ref="W164:W166" si="97">IF($W$6&gt;=G164,0)</f>
        <v>0</v>
      </c>
    </row>
    <row r="165" spans="1:23" ht="33.75" x14ac:dyDescent="0.15">
      <c r="A165" s="10" t="s">
        <v>2204</v>
      </c>
      <c r="B165" s="9" t="s">
        <v>618</v>
      </c>
      <c r="C165" s="8" t="s">
        <v>1447</v>
      </c>
      <c r="D165" s="5" t="s">
        <v>956</v>
      </c>
      <c r="E165" s="4" t="s">
        <v>72</v>
      </c>
      <c r="F165" s="4" t="s">
        <v>2624</v>
      </c>
      <c r="G165" s="7">
        <v>43098</v>
      </c>
      <c r="H165" s="6" t="s">
        <v>951</v>
      </c>
      <c r="I165" s="5" t="s">
        <v>1579</v>
      </c>
      <c r="J165" s="5"/>
      <c r="K165" s="7"/>
      <c r="L165" s="6"/>
      <c r="M165" s="5"/>
      <c r="N165" s="2" t="s">
        <v>1568</v>
      </c>
      <c r="Q165" s="3" t="b">
        <f t="shared" si="91"/>
        <v>0</v>
      </c>
      <c r="R165" s="3" t="b">
        <f t="shared" si="92"/>
        <v>0</v>
      </c>
      <c r="S165" s="3">
        <f t="shared" si="93"/>
        <v>0</v>
      </c>
      <c r="T165" s="3">
        <f t="shared" si="94"/>
        <v>0</v>
      </c>
      <c r="U165" s="3">
        <f t="shared" si="95"/>
        <v>0</v>
      </c>
      <c r="V165" s="3">
        <f t="shared" si="96"/>
        <v>0</v>
      </c>
      <c r="W165">
        <f t="shared" si="97"/>
        <v>0</v>
      </c>
    </row>
    <row r="166" spans="1:23" ht="45" x14ac:dyDescent="0.15">
      <c r="A166" s="10" t="s">
        <v>2247</v>
      </c>
      <c r="B166" s="9" t="s">
        <v>1533</v>
      </c>
      <c r="C166" s="8" t="s">
        <v>1447</v>
      </c>
      <c r="D166" s="5" t="s">
        <v>2611</v>
      </c>
      <c r="E166" s="4" t="s">
        <v>30</v>
      </c>
      <c r="F166" s="4" t="s">
        <v>182</v>
      </c>
      <c r="G166" s="7">
        <v>43098</v>
      </c>
      <c r="H166" s="6" t="s">
        <v>951</v>
      </c>
      <c r="I166" s="5" t="s">
        <v>1579</v>
      </c>
      <c r="J166" s="5"/>
      <c r="K166" s="7"/>
      <c r="L166" s="6"/>
      <c r="M166" s="5"/>
      <c r="N166" s="2" t="s">
        <v>1568</v>
      </c>
      <c r="Q166" s="3" t="b">
        <f t="shared" si="91"/>
        <v>0</v>
      </c>
      <c r="R166" s="3" t="b">
        <f t="shared" si="92"/>
        <v>0</v>
      </c>
      <c r="S166" s="3">
        <f t="shared" si="93"/>
        <v>0</v>
      </c>
      <c r="T166" s="3">
        <f t="shared" si="94"/>
        <v>0</v>
      </c>
      <c r="U166" s="3">
        <f t="shared" si="95"/>
        <v>0</v>
      </c>
      <c r="V166" s="3">
        <f t="shared" si="96"/>
        <v>0</v>
      </c>
      <c r="W166">
        <f t="shared" si="97"/>
        <v>0</v>
      </c>
    </row>
    <row r="167" spans="1:23" x14ac:dyDescent="0.15">
      <c r="A167" s="16" t="s">
        <v>935</v>
      </c>
      <c r="B167" s="129" t="s">
        <v>586</v>
      </c>
      <c r="C167" s="130"/>
      <c r="D167" s="15" t="s">
        <v>1011</v>
      </c>
      <c r="E167" s="14" t="s">
        <v>258</v>
      </c>
      <c r="F167" s="13" t="s">
        <v>2495</v>
      </c>
      <c r="G167" s="131" t="s">
        <v>613</v>
      </c>
      <c r="H167" s="132"/>
      <c r="I167" s="132"/>
      <c r="J167" s="132"/>
      <c r="K167" s="132"/>
      <c r="L167" s="132"/>
      <c r="M167" s="133"/>
    </row>
    <row r="168" spans="1:23" x14ac:dyDescent="0.15">
      <c r="A168" s="134" t="s">
        <v>977</v>
      </c>
      <c r="B168" s="136" t="s">
        <v>920</v>
      </c>
      <c r="C168" s="138" t="s">
        <v>1008</v>
      </c>
      <c r="D168" s="140" t="s">
        <v>1009</v>
      </c>
      <c r="E168" s="142" t="s">
        <v>2118</v>
      </c>
      <c r="F168" s="142" t="s">
        <v>1849</v>
      </c>
      <c r="G168" s="144" t="s">
        <v>994</v>
      </c>
      <c r="H168" s="145"/>
      <c r="I168" s="145"/>
      <c r="J168" s="146"/>
      <c r="K168" s="144" t="s">
        <v>982</v>
      </c>
      <c r="L168" s="145"/>
      <c r="M168" s="147"/>
    </row>
    <row r="169" spans="1:23" x14ac:dyDescent="0.15">
      <c r="A169" s="135"/>
      <c r="B169" s="137"/>
      <c r="C169" s="139"/>
      <c r="D169" s="141"/>
      <c r="E169" s="143"/>
      <c r="F169" s="143"/>
      <c r="G169" s="12" t="s">
        <v>1588</v>
      </c>
      <c r="H169" s="12" t="s">
        <v>1578</v>
      </c>
      <c r="I169" s="12" t="s">
        <v>1562</v>
      </c>
      <c r="J169" s="12" t="s">
        <v>1007</v>
      </c>
      <c r="K169" s="12" t="s">
        <v>1588</v>
      </c>
      <c r="L169" s="12" t="s">
        <v>1578</v>
      </c>
      <c r="M169" s="11" t="s">
        <v>1562</v>
      </c>
    </row>
    <row r="170" spans="1:23" ht="56.25" x14ac:dyDescent="0.15">
      <c r="A170" s="10" t="s">
        <v>1630</v>
      </c>
      <c r="B170" s="9" t="s">
        <v>729</v>
      </c>
      <c r="C170" s="8" t="s">
        <v>1447</v>
      </c>
      <c r="D170" s="5" t="s">
        <v>2615</v>
      </c>
      <c r="E170" s="4" t="s">
        <v>1391</v>
      </c>
      <c r="F170" s="4" t="s">
        <v>466</v>
      </c>
      <c r="G170" s="7">
        <v>43098</v>
      </c>
      <c r="H170" s="6" t="s">
        <v>951</v>
      </c>
      <c r="I170" s="5" t="s">
        <v>1579</v>
      </c>
      <c r="J170" s="5"/>
      <c r="K170" s="7"/>
      <c r="L170" s="6"/>
      <c r="M170" s="5"/>
      <c r="N170" s="2" t="s">
        <v>1568</v>
      </c>
      <c r="Q170" s="3" t="b">
        <f t="shared" ref="Q170:Q172" si="98">IF($Q$6&gt;=G170,0)</f>
        <v>0</v>
      </c>
      <c r="R170" s="3" t="b">
        <f t="shared" ref="R170:R172" si="99">IF($R$6&gt;=G170,0)</f>
        <v>0</v>
      </c>
      <c r="S170" s="3">
        <f t="shared" ref="S170:S172" si="100">IF($S$6&gt;=G170,0)</f>
        <v>0</v>
      </c>
      <c r="T170" s="3">
        <f t="shared" ref="T170:T172" si="101">IF($T$6&gt;=G170,0)</f>
        <v>0</v>
      </c>
      <c r="U170" s="3">
        <f t="shared" ref="U170:U172" si="102">IF($U$6&gt;=G170,0)</f>
        <v>0</v>
      </c>
      <c r="V170" s="3">
        <f t="shared" ref="V170:V172" si="103">IF($V$6&gt;=G170,0)</f>
        <v>0</v>
      </c>
      <c r="W170">
        <f t="shared" ref="W170:W172" si="104">IF($W$6&gt;=G170,0)</f>
        <v>0</v>
      </c>
    </row>
    <row r="171" spans="1:23" ht="45" x14ac:dyDescent="0.15">
      <c r="A171" s="10" t="s">
        <v>1794</v>
      </c>
      <c r="B171" s="9" t="s">
        <v>743</v>
      </c>
      <c r="C171" s="8" t="s">
        <v>1447</v>
      </c>
      <c r="D171" s="5" t="s">
        <v>2615</v>
      </c>
      <c r="E171" s="4" t="s">
        <v>450</v>
      </c>
      <c r="F171" s="4" t="s">
        <v>2624</v>
      </c>
      <c r="G171" s="7">
        <v>43098</v>
      </c>
      <c r="H171" s="6" t="s">
        <v>951</v>
      </c>
      <c r="I171" s="5" t="s">
        <v>1579</v>
      </c>
      <c r="J171" s="5"/>
      <c r="K171" s="7"/>
      <c r="L171" s="6"/>
      <c r="M171" s="5"/>
      <c r="N171" s="2" t="s">
        <v>1568</v>
      </c>
      <c r="Q171" s="3" t="b">
        <f t="shared" si="98"/>
        <v>0</v>
      </c>
      <c r="R171" s="3" t="b">
        <f t="shared" si="99"/>
        <v>0</v>
      </c>
      <c r="S171" s="3">
        <f t="shared" si="100"/>
        <v>0</v>
      </c>
      <c r="T171" s="3">
        <f t="shared" si="101"/>
        <v>0</v>
      </c>
      <c r="U171" s="3">
        <f t="shared" si="102"/>
        <v>0</v>
      </c>
      <c r="V171" s="3">
        <f t="shared" si="103"/>
        <v>0</v>
      </c>
      <c r="W171">
        <f t="shared" si="104"/>
        <v>0</v>
      </c>
    </row>
    <row r="172" spans="1:23" ht="56.25" x14ac:dyDescent="0.15">
      <c r="A172" s="10" t="s">
        <v>2216</v>
      </c>
      <c r="B172" s="9" t="s">
        <v>1310</v>
      </c>
      <c r="C172" s="8" t="s">
        <v>1447</v>
      </c>
      <c r="D172" s="5" t="s">
        <v>2611</v>
      </c>
      <c r="E172" s="4" t="s">
        <v>435</v>
      </c>
      <c r="F172" s="4" t="s">
        <v>2666</v>
      </c>
      <c r="G172" s="7">
        <v>43098</v>
      </c>
      <c r="H172" s="6" t="s">
        <v>951</v>
      </c>
      <c r="I172" s="5" t="s">
        <v>1579</v>
      </c>
      <c r="J172" s="5"/>
      <c r="K172" s="7"/>
      <c r="L172" s="6"/>
      <c r="M172" s="5"/>
      <c r="N172" s="2" t="s">
        <v>1568</v>
      </c>
      <c r="Q172" s="3" t="b">
        <f t="shared" si="98"/>
        <v>0</v>
      </c>
      <c r="R172" s="3" t="b">
        <f t="shared" si="99"/>
        <v>0</v>
      </c>
      <c r="S172" s="3">
        <f t="shared" si="100"/>
        <v>0</v>
      </c>
      <c r="T172" s="3">
        <f t="shared" si="101"/>
        <v>0</v>
      </c>
      <c r="U172" s="3">
        <f t="shared" si="102"/>
        <v>0</v>
      </c>
      <c r="V172" s="3">
        <f t="shared" si="103"/>
        <v>0</v>
      </c>
      <c r="W172">
        <f t="shared" si="104"/>
        <v>0</v>
      </c>
    </row>
    <row r="173" spans="1:23" x14ac:dyDescent="0.15">
      <c r="A173" s="16" t="s">
        <v>935</v>
      </c>
      <c r="B173" s="129" t="s">
        <v>653</v>
      </c>
      <c r="C173" s="130"/>
      <c r="D173" s="15" t="s">
        <v>1011</v>
      </c>
      <c r="E173" s="14" t="s">
        <v>243</v>
      </c>
      <c r="F173" s="13" t="s">
        <v>2495</v>
      </c>
      <c r="G173" s="131" t="s">
        <v>1525</v>
      </c>
      <c r="H173" s="132"/>
      <c r="I173" s="132"/>
      <c r="J173" s="132"/>
      <c r="K173" s="132"/>
      <c r="L173" s="132"/>
      <c r="M173" s="133"/>
    </row>
    <row r="174" spans="1:23" x14ac:dyDescent="0.15">
      <c r="A174" s="134" t="s">
        <v>977</v>
      </c>
      <c r="B174" s="136" t="s">
        <v>920</v>
      </c>
      <c r="C174" s="138" t="s">
        <v>1008</v>
      </c>
      <c r="D174" s="140" t="s">
        <v>1009</v>
      </c>
      <c r="E174" s="142" t="s">
        <v>2118</v>
      </c>
      <c r="F174" s="142" t="s">
        <v>1849</v>
      </c>
      <c r="G174" s="144" t="s">
        <v>994</v>
      </c>
      <c r="H174" s="145"/>
      <c r="I174" s="145"/>
      <c r="J174" s="146"/>
      <c r="K174" s="144" t="s">
        <v>982</v>
      </c>
      <c r="L174" s="145"/>
      <c r="M174" s="147"/>
    </row>
    <row r="175" spans="1:23" x14ac:dyDescent="0.15">
      <c r="A175" s="135"/>
      <c r="B175" s="137"/>
      <c r="C175" s="139"/>
      <c r="D175" s="141"/>
      <c r="E175" s="143"/>
      <c r="F175" s="143"/>
      <c r="G175" s="12" t="s">
        <v>1588</v>
      </c>
      <c r="H175" s="12" t="s">
        <v>1578</v>
      </c>
      <c r="I175" s="12" t="s">
        <v>1562</v>
      </c>
      <c r="J175" s="12" t="s">
        <v>1007</v>
      </c>
      <c r="K175" s="12" t="s">
        <v>1588</v>
      </c>
      <c r="L175" s="12" t="s">
        <v>1578</v>
      </c>
      <c r="M175" s="11" t="s">
        <v>1562</v>
      </c>
    </row>
    <row r="176" spans="1:23" ht="78.75" x14ac:dyDescent="0.15">
      <c r="A176" s="10" t="s">
        <v>1658</v>
      </c>
      <c r="B176" s="9" t="s">
        <v>1426</v>
      </c>
      <c r="C176" s="8" t="s">
        <v>1447</v>
      </c>
      <c r="D176" s="5" t="s">
        <v>2611</v>
      </c>
      <c r="E176" s="4" t="s">
        <v>764</v>
      </c>
      <c r="F176" s="4" t="s">
        <v>1384</v>
      </c>
      <c r="G176" s="7">
        <v>43112</v>
      </c>
      <c r="H176" s="6" t="s">
        <v>951</v>
      </c>
      <c r="I176" s="5" t="s">
        <v>1573</v>
      </c>
      <c r="J176" s="5"/>
      <c r="K176" s="7"/>
      <c r="L176" s="6"/>
      <c r="M176" s="5"/>
      <c r="N176" s="2" t="s">
        <v>1568</v>
      </c>
      <c r="Q176" s="3" t="b">
        <f t="shared" ref="Q176:Q177" si="105">IF($Q$6&gt;=G176,0)</f>
        <v>0</v>
      </c>
      <c r="R176" s="3" t="b">
        <f t="shared" ref="R176:R177" si="106">IF($R$6&gt;=G176,0)</f>
        <v>0</v>
      </c>
      <c r="T176" s="3" t="b">
        <f t="shared" ref="T176:T177" si="107">IF($T$6&gt;=G176,0)</f>
        <v>0</v>
      </c>
      <c r="U176" s="3" t="b">
        <f t="shared" ref="U176:U177" si="108">IF($U$6&gt;=G176,0)</f>
        <v>0</v>
      </c>
      <c r="V176" s="3">
        <f t="shared" ref="V176:V177" si="109">IF($V$6&gt;=G176,0)</f>
        <v>0</v>
      </c>
      <c r="W176">
        <f t="shared" ref="W176:W177" si="110">IF($W$6&gt;=G176,0)</f>
        <v>0</v>
      </c>
    </row>
    <row r="177" spans="1:23" ht="78.75" x14ac:dyDescent="0.15">
      <c r="A177" s="10" t="s">
        <v>2617</v>
      </c>
      <c r="B177" s="9" t="s">
        <v>832</v>
      </c>
      <c r="C177" s="8" t="s">
        <v>1447</v>
      </c>
      <c r="D177" s="5" t="s">
        <v>2611</v>
      </c>
      <c r="E177" s="4" t="s">
        <v>764</v>
      </c>
      <c r="F177" s="4" t="s">
        <v>1384</v>
      </c>
      <c r="G177" s="7">
        <v>43112</v>
      </c>
      <c r="H177" s="6" t="s">
        <v>951</v>
      </c>
      <c r="I177" s="5" t="s">
        <v>1573</v>
      </c>
      <c r="J177" s="5"/>
      <c r="K177" s="7"/>
      <c r="L177" s="6"/>
      <c r="M177" s="5"/>
      <c r="N177" s="2" t="s">
        <v>1568</v>
      </c>
      <c r="Q177" s="3" t="b">
        <f t="shared" si="105"/>
        <v>0</v>
      </c>
      <c r="R177" s="3" t="b">
        <f t="shared" si="106"/>
        <v>0</v>
      </c>
      <c r="T177" s="3" t="b">
        <f t="shared" si="107"/>
        <v>0</v>
      </c>
      <c r="U177" s="3" t="b">
        <f t="shared" si="108"/>
        <v>0</v>
      </c>
      <c r="V177" s="3">
        <f t="shared" si="109"/>
        <v>0</v>
      </c>
      <c r="W177">
        <f t="shared" si="110"/>
        <v>0</v>
      </c>
    </row>
    <row r="178" spans="1:23" ht="22.5" customHeight="1" x14ac:dyDescent="0.15">
      <c r="A178" s="16" t="s">
        <v>935</v>
      </c>
      <c r="B178" s="46" t="s">
        <v>1538</v>
      </c>
      <c r="C178" s="8"/>
      <c r="D178" s="15" t="s">
        <v>1011</v>
      </c>
      <c r="E178" s="14" t="s">
        <v>1340</v>
      </c>
      <c r="F178" s="13" t="s">
        <v>2670</v>
      </c>
      <c r="G178" s="63" t="s">
        <v>1525</v>
      </c>
      <c r="H178" s="6"/>
      <c r="I178" s="5"/>
      <c r="J178" s="5"/>
      <c r="K178" s="7"/>
      <c r="L178" s="6"/>
      <c r="M178" s="5"/>
    </row>
    <row r="179" spans="1:23" ht="14.25" customHeight="1" x14ac:dyDescent="0.15">
      <c r="A179" s="58" t="s">
        <v>977</v>
      </c>
      <c r="B179" s="59" t="s">
        <v>920</v>
      </c>
      <c r="C179" s="60" t="s">
        <v>1008</v>
      </c>
      <c r="D179" s="61" t="s">
        <v>1009</v>
      </c>
      <c r="E179" s="62" t="s">
        <v>2118</v>
      </c>
      <c r="F179" s="62" t="s">
        <v>2707</v>
      </c>
      <c r="G179" s="57" t="s">
        <v>994</v>
      </c>
      <c r="H179" s="6"/>
      <c r="I179" s="5"/>
      <c r="J179" s="5"/>
      <c r="K179" s="57" t="s">
        <v>982</v>
      </c>
      <c r="L179" s="6"/>
      <c r="M179" s="5"/>
    </row>
    <row r="180" spans="1:23" x14ac:dyDescent="0.15">
      <c r="A180" s="35"/>
      <c r="B180" s="59"/>
      <c r="C180" s="60"/>
      <c r="D180" s="61"/>
      <c r="E180" s="62"/>
      <c r="F180" s="62"/>
      <c r="G180" s="12" t="s">
        <v>1588</v>
      </c>
      <c r="H180" s="12" t="s">
        <v>1578</v>
      </c>
      <c r="I180" s="12" t="s">
        <v>1562</v>
      </c>
      <c r="J180" s="12" t="s">
        <v>1007</v>
      </c>
      <c r="K180" s="12" t="s">
        <v>1588</v>
      </c>
      <c r="L180" s="12" t="s">
        <v>1578</v>
      </c>
      <c r="M180" s="11" t="s">
        <v>1562</v>
      </c>
    </row>
    <row r="181" spans="1:23" ht="25.5" x14ac:dyDescent="0.15">
      <c r="A181" s="10" t="s">
        <v>2357</v>
      </c>
      <c r="B181" s="9" t="s">
        <v>981</v>
      </c>
      <c r="C181" s="8" t="s">
        <v>1447</v>
      </c>
      <c r="D181" s="5" t="s">
        <v>872</v>
      </c>
      <c r="E181" s="4"/>
      <c r="F181" s="4"/>
      <c r="G181" s="7">
        <v>43100</v>
      </c>
      <c r="H181" s="6" t="s">
        <v>951</v>
      </c>
      <c r="I181" s="5" t="s">
        <v>1579</v>
      </c>
      <c r="J181" s="5"/>
      <c r="K181" s="7"/>
      <c r="L181" s="6"/>
      <c r="M181" s="5"/>
      <c r="N181" s="2" t="s">
        <v>1568</v>
      </c>
      <c r="Q181" s="3" t="b">
        <f t="shared" ref="Q181:Q185" si="111">IF($Q$6&gt;=G181,0)</f>
        <v>0</v>
      </c>
      <c r="R181" s="3" t="b">
        <f t="shared" ref="R181:R185" si="112">IF($R$6&gt;=G181,0)</f>
        <v>0</v>
      </c>
      <c r="S181" s="3" t="b">
        <f t="shared" ref="S181:S185" si="113">IF($S$6&gt;=G181,0)</f>
        <v>0</v>
      </c>
      <c r="T181" s="3">
        <f t="shared" ref="T181:T185" si="114">IF($T$6&gt;=G181,0)</f>
        <v>0</v>
      </c>
      <c r="U181" s="3">
        <f t="shared" ref="U181:U185" si="115">IF($U$6&gt;=G181,0)</f>
        <v>0</v>
      </c>
      <c r="V181" s="3">
        <f t="shared" ref="V181:V185" si="116">IF($V$6&gt;=G181,0)</f>
        <v>0</v>
      </c>
      <c r="W181">
        <f t="shared" ref="W181:W185" si="117">IF($W$6&gt;=G181,0)</f>
        <v>0</v>
      </c>
    </row>
    <row r="182" spans="1:23" ht="25.5" x14ac:dyDescent="0.15">
      <c r="A182" s="10" t="s">
        <v>1604</v>
      </c>
      <c r="B182" s="9" t="s">
        <v>2647</v>
      </c>
      <c r="C182" s="8" t="s">
        <v>1447</v>
      </c>
      <c r="D182" s="5"/>
      <c r="E182" s="4"/>
      <c r="F182" s="4"/>
      <c r="G182" s="7">
        <v>43119</v>
      </c>
      <c r="H182" s="6"/>
      <c r="I182" s="5" t="s">
        <v>940</v>
      </c>
      <c r="J182" s="5"/>
      <c r="K182" s="7"/>
      <c r="L182" s="6"/>
      <c r="M182" s="5"/>
      <c r="N182" s="2" t="s">
        <v>1568</v>
      </c>
      <c r="Q182" s="3" t="b">
        <f t="shared" si="111"/>
        <v>0</v>
      </c>
      <c r="R182" s="3" t="b">
        <f t="shared" si="112"/>
        <v>0</v>
      </c>
      <c r="S182" s="3" t="b">
        <f t="shared" si="113"/>
        <v>0</v>
      </c>
      <c r="T182" s="3" t="b">
        <f t="shared" si="114"/>
        <v>0</v>
      </c>
      <c r="U182" s="3" t="b">
        <f t="shared" si="115"/>
        <v>0</v>
      </c>
      <c r="V182" s="3">
        <f t="shared" si="116"/>
        <v>0</v>
      </c>
      <c r="W182">
        <f t="shared" si="117"/>
        <v>0</v>
      </c>
    </row>
    <row r="183" spans="1:23" ht="56.25" x14ac:dyDescent="0.15">
      <c r="A183" s="10" t="s">
        <v>1676</v>
      </c>
      <c r="B183" s="9" t="s">
        <v>733</v>
      </c>
      <c r="C183" s="8" t="s">
        <v>1447</v>
      </c>
      <c r="D183" s="5" t="s">
        <v>1576</v>
      </c>
      <c r="E183" s="4" t="s">
        <v>439</v>
      </c>
      <c r="F183" s="4" t="s">
        <v>1075</v>
      </c>
      <c r="G183" s="7">
        <v>43100</v>
      </c>
      <c r="H183" s="6" t="s">
        <v>951</v>
      </c>
      <c r="I183" s="5" t="s">
        <v>1579</v>
      </c>
      <c r="J183" s="5"/>
      <c r="K183" s="7"/>
      <c r="L183" s="6"/>
      <c r="M183" s="5"/>
      <c r="N183" s="2" t="s">
        <v>1568</v>
      </c>
      <c r="Q183" s="3" t="b">
        <f t="shared" si="111"/>
        <v>0</v>
      </c>
      <c r="R183" s="3" t="b">
        <f t="shared" si="112"/>
        <v>0</v>
      </c>
      <c r="S183" s="3" t="b">
        <f t="shared" si="113"/>
        <v>0</v>
      </c>
      <c r="T183" s="3">
        <f t="shared" si="114"/>
        <v>0</v>
      </c>
      <c r="U183" s="3">
        <f t="shared" si="115"/>
        <v>0</v>
      </c>
      <c r="V183" s="3">
        <f t="shared" si="116"/>
        <v>0</v>
      </c>
      <c r="W183">
        <f t="shared" si="117"/>
        <v>0</v>
      </c>
    </row>
    <row r="184" spans="1:23" ht="56.25" x14ac:dyDescent="0.15">
      <c r="A184" s="10" t="s">
        <v>1632</v>
      </c>
      <c r="B184" s="9" t="s">
        <v>1287</v>
      </c>
      <c r="C184" s="8" t="s">
        <v>1447</v>
      </c>
      <c r="D184" s="5" t="s">
        <v>1576</v>
      </c>
      <c r="E184" s="4" t="s">
        <v>346</v>
      </c>
      <c r="F184" s="4" t="s">
        <v>466</v>
      </c>
      <c r="G184" s="7">
        <v>43100</v>
      </c>
      <c r="H184" s="6" t="s">
        <v>951</v>
      </c>
      <c r="I184" s="5" t="s">
        <v>1579</v>
      </c>
      <c r="J184" s="5"/>
      <c r="K184" s="7"/>
      <c r="L184" s="6"/>
      <c r="M184" s="5"/>
      <c r="N184" s="2" t="s">
        <v>1568</v>
      </c>
      <c r="Q184" s="3" t="b">
        <f t="shared" si="111"/>
        <v>0</v>
      </c>
      <c r="R184" s="3" t="b">
        <f t="shared" si="112"/>
        <v>0</v>
      </c>
      <c r="S184" s="3" t="b">
        <f t="shared" si="113"/>
        <v>0</v>
      </c>
      <c r="T184" s="3">
        <f t="shared" si="114"/>
        <v>0</v>
      </c>
      <c r="U184" s="3">
        <f t="shared" si="115"/>
        <v>0</v>
      </c>
      <c r="V184" s="3">
        <f t="shared" si="116"/>
        <v>0</v>
      </c>
      <c r="W184">
        <f t="shared" si="117"/>
        <v>0</v>
      </c>
    </row>
    <row r="185" spans="1:23" ht="56.25" x14ac:dyDescent="0.15">
      <c r="A185" s="10" t="s">
        <v>1599</v>
      </c>
      <c r="B185" s="9" t="s">
        <v>1190</v>
      </c>
      <c r="C185" s="8" t="s">
        <v>1447</v>
      </c>
      <c r="D185" s="5" t="s">
        <v>1576</v>
      </c>
      <c r="E185" s="4" t="s">
        <v>1382</v>
      </c>
      <c r="F185" s="4" t="s">
        <v>2671</v>
      </c>
      <c r="G185" s="7">
        <v>43100</v>
      </c>
      <c r="H185" s="6" t="s">
        <v>951</v>
      </c>
      <c r="I185" s="5" t="s">
        <v>1579</v>
      </c>
      <c r="J185" s="5"/>
      <c r="K185" s="7"/>
      <c r="L185" s="6"/>
      <c r="M185" s="5"/>
      <c r="N185" s="2" t="s">
        <v>1568</v>
      </c>
      <c r="Q185" s="3" t="b">
        <f t="shared" si="111"/>
        <v>0</v>
      </c>
      <c r="R185" s="3" t="b">
        <f t="shared" si="112"/>
        <v>0</v>
      </c>
      <c r="S185" s="3" t="b">
        <f t="shared" si="113"/>
        <v>0</v>
      </c>
      <c r="T185" s="3">
        <f t="shared" si="114"/>
        <v>0</v>
      </c>
      <c r="U185" s="3">
        <f t="shared" si="115"/>
        <v>0</v>
      </c>
      <c r="V185" s="3">
        <f t="shared" si="116"/>
        <v>0</v>
      </c>
      <c r="W185">
        <f t="shared" si="117"/>
        <v>0</v>
      </c>
    </row>
    <row r="186" spans="1:23" ht="22.5" x14ac:dyDescent="0.15">
      <c r="A186" s="16" t="s">
        <v>935</v>
      </c>
      <c r="B186" s="56" t="s">
        <v>1429</v>
      </c>
      <c r="C186" s="8"/>
      <c r="D186" s="15" t="s">
        <v>1011</v>
      </c>
      <c r="E186" s="14" t="s">
        <v>1209</v>
      </c>
      <c r="F186" s="13" t="s">
        <v>2495</v>
      </c>
      <c r="G186" s="63" t="s">
        <v>1525</v>
      </c>
      <c r="H186" s="6"/>
      <c r="I186" s="5"/>
      <c r="J186" s="5"/>
      <c r="K186" s="7"/>
      <c r="L186" s="6"/>
      <c r="M186" s="5"/>
    </row>
    <row r="187" spans="1:23" x14ac:dyDescent="0.15">
      <c r="A187" s="58" t="s">
        <v>977</v>
      </c>
      <c r="B187" s="59" t="s">
        <v>920</v>
      </c>
      <c r="C187" s="60" t="s">
        <v>1008</v>
      </c>
      <c r="D187" s="61" t="s">
        <v>1009</v>
      </c>
      <c r="E187" s="62" t="s">
        <v>2118</v>
      </c>
      <c r="F187" s="62" t="s">
        <v>1849</v>
      </c>
      <c r="G187" s="57" t="s">
        <v>994</v>
      </c>
      <c r="H187" s="6"/>
      <c r="I187" s="5"/>
      <c r="J187" s="5"/>
      <c r="K187" s="57" t="s">
        <v>982</v>
      </c>
      <c r="L187" s="6"/>
      <c r="M187" s="5"/>
    </row>
    <row r="188" spans="1:23" x14ac:dyDescent="0.15">
      <c r="A188" s="35"/>
      <c r="B188" s="59"/>
      <c r="C188" s="60"/>
      <c r="D188" s="61"/>
      <c r="E188" s="62"/>
      <c r="F188" s="62"/>
      <c r="G188" s="12" t="s">
        <v>1588</v>
      </c>
      <c r="H188" s="12" t="s">
        <v>1578</v>
      </c>
      <c r="I188" s="12" t="s">
        <v>1562</v>
      </c>
      <c r="J188" s="12" t="s">
        <v>1007</v>
      </c>
      <c r="K188" s="12" t="s">
        <v>1588</v>
      </c>
      <c r="L188" s="12" t="s">
        <v>1578</v>
      </c>
      <c r="M188" s="11" t="s">
        <v>1562</v>
      </c>
    </row>
    <row r="189" spans="1:23" ht="45" x14ac:dyDescent="0.15">
      <c r="A189" s="10" t="s">
        <v>1799</v>
      </c>
      <c r="B189" s="9" t="s">
        <v>1422</v>
      </c>
      <c r="C189" s="8" t="s">
        <v>1447</v>
      </c>
      <c r="D189" s="5" t="s">
        <v>2711</v>
      </c>
      <c r="E189" s="4" t="s">
        <v>413</v>
      </c>
      <c r="F189" s="4" t="s">
        <v>1077</v>
      </c>
      <c r="G189" s="7">
        <v>43091</v>
      </c>
      <c r="H189" s="6" t="s">
        <v>951</v>
      </c>
      <c r="I189" s="5" t="s">
        <v>1593</v>
      </c>
      <c r="J189" s="5"/>
      <c r="K189" s="7"/>
      <c r="L189" s="6"/>
      <c r="M189" s="5"/>
      <c r="Q189" s="3" t="b">
        <f t="shared" ref="Q189:Q193" si="118">IF($Q$6&gt;=G189,0)</f>
        <v>0</v>
      </c>
      <c r="R189" s="3">
        <f t="shared" ref="R189:R193" si="119">IF($R$6&gt;=G189,0)</f>
        <v>0</v>
      </c>
      <c r="S189" s="3">
        <f t="shared" ref="S189:S193" si="120">IF($S$6&gt;=G189,0)</f>
        <v>0</v>
      </c>
      <c r="T189" s="3">
        <f t="shared" ref="T189:T193" si="121">IF($T$6&gt;=G189,0)</f>
        <v>0</v>
      </c>
      <c r="U189" s="3">
        <f t="shared" ref="U189:U193" si="122">IF($U$6&gt;=G189,0)</f>
        <v>0</v>
      </c>
      <c r="V189" s="3">
        <f t="shared" ref="V189:V193" si="123">IF($V$6&gt;=G189,0)</f>
        <v>0</v>
      </c>
      <c r="W189">
        <f t="shared" ref="W189:W193" si="124">IF($W$6&gt;=G189,0)</f>
        <v>0</v>
      </c>
    </row>
    <row r="190" spans="1:23" ht="45" x14ac:dyDescent="0.15">
      <c r="A190" s="10" t="s">
        <v>2601</v>
      </c>
      <c r="B190" s="9" t="s">
        <v>1267</v>
      </c>
      <c r="C190" s="8" t="s">
        <v>1447</v>
      </c>
      <c r="D190" s="5" t="s">
        <v>2711</v>
      </c>
      <c r="E190" s="4" t="s">
        <v>413</v>
      </c>
      <c r="F190" s="4" t="s">
        <v>322</v>
      </c>
      <c r="G190" s="7">
        <v>43091</v>
      </c>
      <c r="H190" s="6" t="s">
        <v>951</v>
      </c>
      <c r="I190" s="5" t="s">
        <v>1593</v>
      </c>
      <c r="J190" s="5"/>
      <c r="K190" s="7"/>
      <c r="L190" s="6"/>
      <c r="M190" s="5"/>
      <c r="Q190" s="3" t="b">
        <f t="shared" si="118"/>
        <v>0</v>
      </c>
      <c r="R190" s="3">
        <f t="shared" si="119"/>
        <v>0</v>
      </c>
      <c r="S190" s="3">
        <f t="shared" si="120"/>
        <v>0</v>
      </c>
      <c r="T190" s="3">
        <f t="shared" si="121"/>
        <v>0</v>
      </c>
      <c r="U190" s="3">
        <f t="shared" si="122"/>
        <v>0</v>
      </c>
      <c r="V190" s="3">
        <f t="shared" si="123"/>
        <v>0</v>
      </c>
      <c r="W190">
        <f t="shared" si="124"/>
        <v>0</v>
      </c>
    </row>
    <row r="191" spans="1:23" ht="45" x14ac:dyDescent="0.15">
      <c r="A191" s="10" t="s">
        <v>1637</v>
      </c>
      <c r="B191" s="9" t="s">
        <v>868</v>
      </c>
      <c r="C191" s="8" t="s">
        <v>1447</v>
      </c>
      <c r="D191" s="5" t="s">
        <v>2711</v>
      </c>
      <c r="E191" s="4" t="s">
        <v>413</v>
      </c>
      <c r="F191" s="4" t="s">
        <v>1097</v>
      </c>
      <c r="G191" s="7">
        <v>43091</v>
      </c>
      <c r="H191" s="6" t="s">
        <v>951</v>
      </c>
      <c r="I191" s="5" t="s">
        <v>1593</v>
      </c>
      <c r="J191" s="5"/>
      <c r="K191" s="7"/>
      <c r="L191" s="6"/>
      <c r="M191" s="5"/>
      <c r="Q191" s="3" t="b">
        <f t="shared" si="118"/>
        <v>0</v>
      </c>
      <c r="R191" s="3">
        <f t="shared" si="119"/>
        <v>0</v>
      </c>
      <c r="S191" s="3">
        <f t="shared" si="120"/>
        <v>0</v>
      </c>
      <c r="T191" s="3">
        <f t="shared" si="121"/>
        <v>0</v>
      </c>
      <c r="U191" s="3">
        <f t="shared" si="122"/>
        <v>0</v>
      </c>
      <c r="V191" s="3">
        <f t="shared" si="123"/>
        <v>0</v>
      </c>
      <c r="W191">
        <f t="shared" si="124"/>
        <v>0</v>
      </c>
    </row>
    <row r="192" spans="1:23" ht="45" x14ac:dyDescent="0.15">
      <c r="A192" s="10" t="s">
        <v>1786</v>
      </c>
      <c r="B192" s="9" t="s">
        <v>602</v>
      </c>
      <c r="C192" s="8" t="s">
        <v>1447</v>
      </c>
      <c r="D192" s="5" t="s">
        <v>2711</v>
      </c>
      <c r="E192" s="4" t="s">
        <v>413</v>
      </c>
      <c r="F192" s="4" t="s">
        <v>1237</v>
      </c>
      <c r="G192" s="7">
        <v>43091</v>
      </c>
      <c r="H192" s="6" t="s">
        <v>951</v>
      </c>
      <c r="I192" s="5" t="s">
        <v>1593</v>
      </c>
      <c r="J192" s="5"/>
      <c r="K192" s="7"/>
      <c r="L192" s="6"/>
      <c r="M192" s="5"/>
      <c r="Q192" s="3" t="b">
        <f t="shared" si="118"/>
        <v>0</v>
      </c>
      <c r="R192" s="3">
        <f t="shared" si="119"/>
        <v>0</v>
      </c>
      <c r="S192" s="3">
        <f t="shared" si="120"/>
        <v>0</v>
      </c>
      <c r="T192" s="3">
        <f t="shared" si="121"/>
        <v>0</v>
      </c>
      <c r="U192" s="3">
        <f t="shared" si="122"/>
        <v>0</v>
      </c>
      <c r="V192" s="3">
        <f t="shared" si="123"/>
        <v>0</v>
      </c>
      <c r="W192">
        <f t="shared" si="124"/>
        <v>0</v>
      </c>
    </row>
    <row r="193" spans="1:23" ht="45" x14ac:dyDescent="0.15">
      <c r="A193" s="10" t="s">
        <v>1662</v>
      </c>
      <c r="B193" s="9" t="s">
        <v>201</v>
      </c>
      <c r="C193" s="8" t="s">
        <v>1447</v>
      </c>
      <c r="D193" s="5" t="s">
        <v>2711</v>
      </c>
      <c r="E193" s="4" t="s">
        <v>413</v>
      </c>
      <c r="F193" s="4" t="s">
        <v>2691</v>
      </c>
      <c r="G193" s="7">
        <v>43091</v>
      </c>
      <c r="H193" s="6" t="s">
        <v>951</v>
      </c>
      <c r="I193" s="5" t="s">
        <v>1593</v>
      </c>
      <c r="J193" s="5"/>
      <c r="K193" s="7"/>
      <c r="L193" s="6"/>
      <c r="M193" s="5"/>
      <c r="Q193" s="3" t="b">
        <f t="shared" si="118"/>
        <v>0</v>
      </c>
      <c r="R193" s="3">
        <f t="shared" si="119"/>
        <v>0</v>
      </c>
      <c r="S193" s="3">
        <f t="shared" si="120"/>
        <v>0</v>
      </c>
      <c r="T193" s="3">
        <f t="shared" si="121"/>
        <v>0</v>
      </c>
      <c r="U193" s="3">
        <f t="shared" si="122"/>
        <v>0</v>
      </c>
      <c r="V193" s="3">
        <f t="shared" si="123"/>
        <v>0</v>
      </c>
      <c r="W193">
        <f t="shared" si="124"/>
        <v>0</v>
      </c>
    </row>
    <row r="194" spans="1:23" x14ac:dyDescent="0.15">
      <c r="A194" s="16" t="s">
        <v>935</v>
      </c>
      <c r="B194" s="129" t="s">
        <v>1470</v>
      </c>
      <c r="C194" s="130"/>
      <c r="D194" s="15" t="s">
        <v>1011</v>
      </c>
      <c r="E194" s="14" t="s">
        <v>1280</v>
      </c>
      <c r="F194" s="13" t="s">
        <v>2495</v>
      </c>
      <c r="G194" s="131" t="s">
        <v>560</v>
      </c>
      <c r="H194" s="132"/>
      <c r="I194" s="132"/>
      <c r="J194" s="132"/>
      <c r="K194" s="132"/>
      <c r="L194" s="132"/>
      <c r="M194" s="133"/>
    </row>
    <row r="195" spans="1:23" x14ac:dyDescent="0.15">
      <c r="A195" s="134" t="s">
        <v>977</v>
      </c>
      <c r="B195" s="136" t="s">
        <v>920</v>
      </c>
      <c r="C195" s="138" t="s">
        <v>1008</v>
      </c>
      <c r="D195" s="140" t="s">
        <v>1009</v>
      </c>
      <c r="E195" s="142" t="s">
        <v>2118</v>
      </c>
      <c r="F195" s="142" t="s">
        <v>1849</v>
      </c>
      <c r="G195" s="144" t="s">
        <v>994</v>
      </c>
      <c r="H195" s="145"/>
      <c r="I195" s="145"/>
      <c r="J195" s="146"/>
      <c r="K195" s="144" t="s">
        <v>982</v>
      </c>
      <c r="L195" s="145"/>
      <c r="M195" s="147"/>
    </row>
    <row r="196" spans="1:23" x14ac:dyDescent="0.15">
      <c r="A196" s="135"/>
      <c r="B196" s="137"/>
      <c r="C196" s="139"/>
      <c r="D196" s="141"/>
      <c r="E196" s="143"/>
      <c r="F196" s="143"/>
      <c r="G196" s="12" t="s">
        <v>1588</v>
      </c>
      <c r="H196" s="12" t="s">
        <v>1578</v>
      </c>
      <c r="I196" s="12" t="s">
        <v>1562</v>
      </c>
      <c r="J196" s="12" t="s">
        <v>1007</v>
      </c>
      <c r="K196" s="12" t="s">
        <v>1588</v>
      </c>
      <c r="L196" s="12" t="s">
        <v>1578</v>
      </c>
      <c r="M196" s="11" t="s">
        <v>1562</v>
      </c>
    </row>
    <row r="197" spans="1:23" ht="56.25" x14ac:dyDescent="0.15">
      <c r="A197" s="10" t="s">
        <v>1603</v>
      </c>
      <c r="B197" s="9" t="s">
        <v>1273</v>
      </c>
      <c r="C197" s="8" t="s">
        <v>1003</v>
      </c>
      <c r="D197" s="5" t="s">
        <v>2163</v>
      </c>
      <c r="E197" s="4" t="s">
        <v>14</v>
      </c>
      <c r="F197" s="4" t="s">
        <v>499</v>
      </c>
      <c r="G197" s="7">
        <v>43059</v>
      </c>
      <c r="H197" s="6" t="s">
        <v>951</v>
      </c>
      <c r="I197" s="5" t="s">
        <v>1593</v>
      </c>
      <c r="J197" s="5"/>
      <c r="K197" s="7"/>
      <c r="L197" s="6"/>
      <c r="M197" s="5"/>
      <c r="Q197" s="3">
        <f t="shared" ref="Q197:Q224" si="125">IF($Q$6&gt;=G197,0)</f>
        <v>0</v>
      </c>
      <c r="R197" s="3">
        <f t="shared" ref="R197:R224" si="126">IF($R$6&gt;=G197,0)</f>
        <v>0</v>
      </c>
      <c r="S197" s="3">
        <f t="shared" ref="S197:S224" si="127">IF($S$6&gt;=G197,0)</f>
        <v>0</v>
      </c>
      <c r="T197" s="3">
        <f t="shared" ref="T197:T224" si="128">IF($T$6&gt;=G197,0)</f>
        <v>0</v>
      </c>
      <c r="U197" s="3">
        <f t="shared" ref="U197:U224" si="129">IF($U$6&gt;=G197,0)</f>
        <v>0</v>
      </c>
      <c r="V197" s="3">
        <f t="shared" ref="V197:V224" si="130">IF($V$6&gt;=G197,0)</f>
        <v>0</v>
      </c>
      <c r="W197">
        <f t="shared" ref="W197:W224" si="131">IF($W$6&gt;=G197,0)</f>
        <v>0</v>
      </c>
    </row>
    <row r="198" spans="1:23" ht="45" x14ac:dyDescent="0.15">
      <c r="A198" s="10" t="s">
        <v>1634</v>
      </c>
      <c r="B198" s="9" t="s">
        <v>747</v>
      </c>
      <c r="C198" s="8" t="s">
        <v>1003</v>
      </c>
      <c r="D198" s="5" t="s">
        <v>2244</v>
      </c>
      <c r="E198" s="4" t="s">
        <v>717</v>
      </c>
      <c r="F198" s="4" t="s">
        <v>514</v>
      </c>
      <c r="G198" s="7">
        <v>43059</v>
      </c>
      <c r="H198" s="6" t="s">
        <v>951</v>
      </c>
      <c r="I198" s="5" t="s">
        <v>1593</v>
      </c>
      <c r="J198" s="5"/>
      <c r="K198" s="7"/>
      <c r="L198" s="6"/>
      <c r="M198" s="5"/>
      <c r="Q198" s="3">
        <f t="shared" si="125"/>
        <v>0</v>
      </c>
      <c r="R198" s="3">
        <f t="shared" si="126"/>
        <v>0</v>
      </c>
      <c r="S198" s="3">
        <f t="shared" si="127"/>
        <v>0</v>
      </c>
      <c r="T198" s="3">
        <f t="shared" si="128"/>
        <v>0</v>
      </c>
      <c r="U198" s="3">
        <f t="shared" si="129"/>
        <v>0</v>
      </c>
      <c r="V198" s="3">
        <f t="shared" si="130"/>
        <v>0</v>
      </c>
      <c r="W198">
        <f t="shared" si="131"/>
        <v>0</v>
      </c>
    </row>
    <row r="199" spans="1:23" ht="35.25" customHeight="1" x14ac:dyDescent="0.15">
      <c r="A199" s="10" t="s">
        <v>1628</v>
      </c>
      <c r="B199" s="9" t="s">
        <v>1309</v>
      </c>
      <c r="C199" s="8" t="s">
        <v>1003</v>
      </c>
      <c r="D199" s="5" t="s">
        <v>2163</v>
      </c>
      <c r="E199" s="4" t="s">
        <v>353</v>
      </c>
      <c r="F199" s="4" t="s">
        <v>503</v>
      </c>
      <c r="G199" s="7">
        <v>43059</v>
      </c>
      <c r="H199" s="6" t="s">
        <v>951</v>
      </c>
      <c r="I199" s="5" t="s">
        <v>1593</v>
      </c>
      <c r="J199" s="5"/>
      <c r="K199" s="7"/>
      <c r="L199" s="6"/>
      <c r="M199" s="5"/>
      <c r="Q199" s="3">
        <f t="shared" si="125"/>
        <v>0</v>
      </c>
      <c r="R199" s="3">
        <f t="shared" si="126"/>
        <v>0</v>
      </c>
      <c r="S199" s="3">
        <f t="shared" si="127"/>
        <v>0</v>
      </c>
      <c r="T199" s="3">
        <f t="shared" si="128"/>
        <v>0</v>
      </c>
      <c r="U199" s="3">
        <f t="shared" si="129"/>
        <v>0</v>
      </c>
      <c r="V199" s="3">
        <f t="shared" si="130"/>
        <v>0</v>
      </c>
      <c r="W199">
        <f t="shared" si="131"/>
        <v>0</v>
      </c>
    </row>
    <row r="200" spans="1:23" ht="45" x14ac:dyDescent="0.15">
      <c r="A200" s="10" t="s">
        <v>1639</v>
      </c>
      <c r="B200" s="9" t="s">
        <v>1231</v>
      </c>
      <c r="C200" s="8" t="s">
        <v>1003</v>
      </c>
      <c r="D200" s="5" t="s">
        <v>2244</v>
      </c>
      <c r="E200" s="4" t="s">
        <v>1348</v>
      </c>
      <c r="F200" s="4" t="s">
        <v>505</v>
      </c>
      <c r="G200" s="7">
        <v>43059</v>
      </c>
      <c r="H200" s="6" t="s">
        <v>951</v>
      </c>
      <c r="I200" s="5" t="s">
        <v>1593</v>
      </c>
      <c r="J200" s="5"/>
      <c r="K200" s="7"/>
      <c r="L200" s="6"/>
      <c r="M200" s="5"/>
      <c r="Q200" s="3">
        <f t="shared" si="125"/>
        <v>0</v>
      </c>
      <c r="R200" s="3">
        <f t="shared" si="126"/>
        <v>0</v>
      </c>
      <c r="S200" s="3">
        <f t="shared" si="127"/>
        <v>0</v>
      </c>
      <c r="T200" s="3">
        <f t="shared" si="128"/>
        <v>0</v>
      </c>
      <c r="U200" s="3">
        <f t="shared" si="129"/>
        <v>0</v>
      </c>
      <c r="V200" s="3">
        <f t="shared" si="130"/>
        <v>0</v>
      </c>
      <c r="W200">
        <f t="shared" si="131"/>
        <v>0</v>
      </c>
    </row>
    <row r="201" spans="1:23" ht="56.25" x14ac:dyDescent="0.15">
      <c r="A201" s="10" t="s">
        <v>1808</v>
      </c>
      <c r="B201" s="9" t="s">
        <v>1207</v>
      </c>
      <c r="C201" s="8" t="s">
        <v>1003</v>
      </c>
      <c r="D201" s="5" t="s">
        <v>2163</v>
      </c>
      <c r="E201" s="4" t="s">
        <v>14</v>
      </c>
      <c r="F201" s="4" t="s">
        <v>499</v>
      </c>
      <c r="G201" s="7">
        <v>43059</v>
      </c>
      <c r="H201" s="6" t="s">
        <v>951</v>
      </c>
      <c r="I201" s="5" t="s">
        <v>1593</v>
      </c>
      <c r="J201" s="5"/>
      <c r="K201" s="7"/>
      <c r="L201" s="6"/>
      <c r="M201" s="5"/>
      <c r="Q201" s="3">
        <f t="shared" si="125"/>
        <v>0</v>
      </c>
      <c r="R201" s="3">
        <f t="shared" si="126"/>
        <v>0</v>
      </c>
      <c r="S201" s="3">
        <f t="shared" si="127"/>
        <v>0</v>
      </c>
      <c r="T201" s="3">
        <f t="shared" si="128"/>
        <v>0</v>
      </c>
      <c r="U201" s="3">
        <f t="shared" si="129"/>
        <v>0</v>
      </c>
      <c r="V201" s="3">
        <f t="shared" si="130"/>
        <v>0</v>
      </c>
      <c r="W201">
        <f t="shared" si="131"/>
        <v>0</v>
      </c>
    </row>
    <row r="202" spans="1:23" ht="45" x14ac:dyDescent="0.15">
      <c r="A202" s="10" t="s">
        <v>1787</v>
      </c>
      <c r="B202" s="9" t="s">
        <v>1291</v>
      </c>
      <c r="C202" s="8" t="s">
        <v>1003</v>
      </c>
      <c r="D202" s="5" t="s">
        <v>2244</v>
      </c>
      <c r="E202" s="4" t="s">
        <v>717</v>
      </c>
      <c r="F202" s="4" t="s">
        <v>514</v>
      </c>
      <c r="G202" s="7">
        <v>43059</v>
      </c>
      <c r="H202" s="6" t="s">
        <v>951</v>
      </c>
      <c r="I202" s="5" t="s">
        <v>1593</v>
      </c>
      <c r="J202" s="5"/>
      <c r="K202" s="7"/>
      <c r="L202" s="6"/>
      <c r="M202" s="5"/>
      <c r="Q202" s="3">
        <f t="shared" si="125"/>
        <v>0</v>
      </c>
      <c r="R202" s="3">
        <f t="shared" si="126"/>
        <v>0</v>
      </c>
      <c r="S202" s="3">
        <f t="shared" si="127"/>
        <v>0</v>
      </c>
      <c r="T202" s="3">
        <f t="shared" si="128"/>
        <v>0</v>
      </c>
      <c r="U202" s="3">
        <f t="shared" si="129"/>
        <v>0</v>
      </c>
      <c r="V202" s="3">
        <f t="shared" si="130"/>
        <v>0</v>
      </c>
      <c r="W202">
        <f t="shared" si="131"/>
        <v>0</v>
      </c>
    </row>
    <row r="203" spans="1:23" ht="38.25" customHeight="1" x14ac:dyDescent="0.15">
      <c r="A203" s="10" t="s">
        <v>1618</v>
      </c>
      <c r="B203" s="9" t="s">
        <v>762</v>
      </c>
      <c r="C203" s="8" t="s">
        <v>1003</v>
      </c>
      <c r="D203" s="5" t="s">
        <v>2163</v>
      </c>
      <c r="E203" s="4" t="s">
        <v>353</v>
      </c>
      <c r="F203" s="4" t="s">
        <v>503</v>
      </c>
      <c r="G203" s="7">
        <v>43059</v>
      </c>
      <c r="H203" s="6" t="s">
        <v>951</v>
      </c>
      <c r="I203" s="5" t="s">
        <v>1593</v>
      </c>
      <c r="J203" s="5"/>
      <c r="K203" s="7"/>
      <c r="L203" s="6"/>
      <c r="M203" s="5"/>
      <c r="Q203" s="3">
        <f t="shared" si="125"/>
        <v>0</v>
      </c>
      <c r="R203" s="3">
        <f t="shared" si="126"/>
        <v>0</v>
      </c>
      <c r="S203" s="3">
        <f t="shared" si="127"/>
        <v>0</v>
      </c>
      <c r="T203" s="3">
        <f t="shared" si="128"/>
        <v>0</v>
      </c>
      <c r="U203" s="3">
        <f t="shared" si="129"/>
        <v>0</v>
      </c>
      <c r="V203" s="3">
        <f t="shared" si="130"/>
        <v>0</v>
      </c>
      <c r="W203">
        <f t="shared" si="131"/>
        <v>0</v>
      </c>
    </row>
    <row r="204" spans="1:23" ht="45" x14ac:dyDescent="0.15">
      <c r="A204" s="10" t="s">
        <v>2223</v>
      </c>
      <c r="B204" s="9" t="s">
        <v>1266</v>
      </c>
      <c r="C204" s="8" t="s">
        <v>1003</v>
      </c>
      <c r="D204" s="5" t="s">
        <v>2244</v>
      </c>
      <c r="E204" s="4" t="s">
        <v>1348</v>
      </c>
      <c r="F204" s="4" t="s">
        <v>505</v>
      </c>
      <c r="G204" s="7">
        <v>43059</v>
      </c>
      <c r="H204" s="6" t="s">
        <v>951</v>
      </c>
      <c r="I204" s="5" t="s">
        <v>1593</v>
      </c>
      <c r="J204" s="5"/>
      <c r="K204" s="7"/>
      <c r="L204" s="6"/>
      <c r="M204" s="5"/>
      <c r="Q204" s="3">
        <f t="shared" si="125"/>
        <v>0</v>
      </c>
      <c r="R204" s="3">
        <f t="shared" si="126"/>
        <v>0</v>
      </c>
      <c r="S204" s="3">
        <f t="shared" si="127"/>
        <v>0</v>
      </c>
      <c r="T204" s="3">
        <f t="shared" si="128"/>
        <v>0</v>
      </c>
      <c r="U204" s="3">
        <f t="shared" si="129"/>
        <v>0</v>
      </c>
      <c r="V204" s="3">
        <f t="shared" si="130"/>
        <v>0</v>
      </c>
      <c r="W204">
        <f t="shared" si="131"/>
        <v>0</v>
      </c>
    </row>
    <row r="205" spans="1:23" ht="56.25" x14ac:dyDescent="0.15">
      <c r="A205" s="10" t="s">
        <v>1663</v>
      </c>
      <c r="B205" s="9" t="s">
        <v>1243</v>
      </c>
      <c r="C205" s="8" t="s">
        <v>1003</v>
      </c>
      <c r="D205" s="5" t="s">
        <v>2163</v>
      </c>
      <c r="E205" s="4" t="s">
        <v>14</v>
      </c>
      <c r="F205" s="4" t="s">
        <v>499</v>
      </c>
      <c r="G205" s="7">
        <v>43095</v>
      </c>
      <c r="H205" s="6" t="s">
        <v>951</v>
      </c>
      <c r="I205" s="5" t="s">
        <v>1585</v>
      </c>
      <c r="J205" s="5"/>
      <c r="K205" s="7"/>
      <c r="L205" s="6"/>
      <c r="M205" s="5"/>
      <c r="N205" s="2" t="s">
        <v>1568</v>
      </c>
      <c r="Q205" s="3" t="b">
        <f t="shared" si="125"/>
        <v>0</v>
      </c>
      <c r="R205" s="3">
        <f t="shared" si="126"/>
        <v>0</v>
      </c>
      <c r="S205" s="3">
        <f t="shared" si="127"/>
        <v>0</v>
      </c>
      <c r="T205" s="3">
        <f t="shared" si="128"/>
        <v>0</v>
      </c>
      <c r="U205" s="3">
        <f t="shared" si="129"/>
        <v>0</v>
      </c>
      <c r="V205" s="3">
        <f t="shared" si="130"/>
        <v>0</v>
      </c>
      <c r="W205">
        <f t="shared" si="131"/>
        <v>0</v>
      </c>
    </row>
    <row r="206" spans="1:23" ht="45" x14ac:dyDescent="0.15">
      <c r="A206" s="10" t="s">
        <v>1622</v>
      </c>
      <c r="B206" s="9" t="s">
        <v>1268</v>
      </c>
      <c r="C206" s="8" t="s">
        <v>1003</v>
      </c>
      <c r="D206" s="5" t="s">
        <v>2244</v>
      </c>
      <c r="E206" s="4" t="s">
        <v>717</v>
      </c>
      <c r="F206" s="4" t="s">
        <v>514</v>
      </c>
      <c r="G206" s="7">
        <v>43095</v>
      </c>
      <c r="H206" s="6" t="s">
        <v>951</v>
      </c>
      <c r="I206" s="5" t="s">
        <v>1585</v>
      </c>
      <c r="J206" s="5"/>
      <c r="K206" s="7"/>
      <c r="L206" s="6"/>
      <c r="M206" s="5"/>
      <c r="N206" s="2" t="s">
        <v>1568</v>
      </c>
      <c r="Q206" s="3" t="b">
        <f t="shared" si="125"/>
        <v>0</v>
      </c>
      <c r="R206" s="3">
        <f t="shared" si="126"/>
        <v>0</v>
      </c>
      <c r="S206" s="3">
        <f t="shared" si="127"/>
        <v>0</v>
      </c>
      <c r="T206" s="3">
        <f t="shared" si="128"/>
        <v>0</v>
      </c>
      <c r="U206" s="3">
        <f t="shared" si="129"/>
        <v>0</v>
      </c>
      <c r="V206" s="3">
        <f t="shared" si="130"/>
        <v>0</v>
      </c>
      <c r="W206">
        <f t="shared" si="131"/>
        <v>0</v>
      </c>
    </row>
    <row r="207" spans="1:23" ht="45" x14ac:dyDescent="0.15">
      <c r="A207" s="10" t="s">
        <v>2088</v>
      </c>
      <c r="B207" s="9" t="s">
        <v>1251</v>
      </c>
      <c r="C207" s="8" t="s">
        <v>1003</v>
      </c>
      <c r="D207" s="5" t="s">
        <v>2163</v>
      </c>
      <c r="E207" s="4" t="s">
        <v>353</v>
      </c>
      <c r="F207" s="4" t="s">
        <v>503</v>
      </c>
      <c r="G207" s="7">
        <v>43095</v>
      </c>
      <c r="H207" s="6" t="s">
        <v>951</v>
      </c>
      <c r="I207" s="5" t="s">
        <v>1585</v>
      </c>
      <c r="J207" s="5"/>
      <c r="K207" s="7"/>
      <c r="L207" s="6"/>
      <c r="M207" s="5"/>
      <c r="N207" s="2" t="s">
        <v>1568</v>
      </c>
      <c r="Q207" s="3" t="b">
        <f t="shared" si="125"/>
        <v>0</v>
      </c>
      <c r="R207" s="3">
        <f t="shared" si="126"/>
        <v>0</v>
      </c>
      <c r="S207" s="3">
        <f t="shared" si="127"/>
        <v>0</v>
      </c>
      <c r="T207" s="3">
        <f t="shared" si="128"/>
        <v>0</v>
      </c>
      <c r="U207" s="3">
        <f t="shared" si="129"/>
        <v>0</v>
      </c>
      <c r="V207" s="3">
        <f t="shared" si="130"/>
        <v>0</v>
      </c>
      <c r="W207">
        <f t="shared" si="131"/>
        <v>0</v>
      </c>
    </row>
    <row r="208" spans="1:23" ht="45" x14ac:dyDescent="0.15">
      <c r="A208" s="10" t="s">
        <v>1649</v>
      </c>
      <c r="B208" s="9" t="s">
        <v>1334</v>
      </c>
      <c r="C208" s="8" t="s">
        <v>1003</v>
      </c>
      <c r="D208" s="5" t="s">
        <v>2244</v>
      </c>
      <c r="E208" s="4" t="s">
        <v>1348</v>
      </c>
      <c r="F208" s="4" t="s">
        <v>505</v>
      </c>
      <c r="G208" s="7">
        <v>43095</v>
      </c>
      <c r="H208" s="6" t="s">
        <v>951</v>
      </c>
      <c r="I208" s="5" t="s">
        <v>1585</v>
      </c>
      <c r="J208" s="5"/>
      <c r="K208" s="7"/>
      <c r="L208" s="6"/>
      <c r="M208" s="5"/>
      <c r="N208" s="2" t="s">
        <v>1568</v>
      </c>
      <c r="Q208" s="3" t="b">
        <f t="shared" si="125"/>
        <v>0</v>
      </c>
      <c r="R208" s="3">
        <f t="shared" si="126"/>
        <v>0</v>
      </c>
      <c r="S208" s="3">
        <f t="shared" si="127"/>
        <v>0</v>
      </c>
      <c r="T208" s="3">
        <f t="shared" si="128"/>
        <v>0</v>
      </c>
      <c r="U208" s="3">
        <f t="shared" si="129"/>
        <v>0</v>
      </c>
      <c r="V208" s="3">
        <f t="shared" si="130"/>
        <v>0</v>
      </c>
      <c r="W208">
        <f t="shared" si="131"/>
        <v>0</v>
      </c>
    </row>
    <row r="209" spans="1:23" ht="56.25" x14ac:dyDescent="0.15">
      <c r="A209" s="10" t="s">
        <v>1671</v>
      </c>
      <c r="B209" s="9" t="s">
        <v>1199</v>
      </c>
      <c r="C209" s="8" t="s">
        <v>1003</v>
      </c>
      <c r="D209" s="5" t="s">
        <v>2163</v>
      </c>
      <c r="E209" s="4" t="s">
        <v>14</v>
      </c>
      <c r="F209" s="4" t="s">
        <v>499</v>
      </c>
      <c r="G209" s="7">
        <v>43095</v>
      </c>
      <c r="H209" s="6" t="s">
        <v>951</v>
      </c>
      <c r="I209" s="5" t="s">
        <v>1585</v>
      </c>
      <c r="J209" s="5"/>
      <c r="K209" s="7"/>
      <c r="L209" s="6"/>
      <c r="M209" s="5"/>
      <c r="N209" s="2" t="s">
        <v>1568</v>
      </c>
      <c r="Q209" s="3" t="b">
        <f t="shared" si="125"/>
        <v>0</v>
      </c>
      <c r="R209" s="3">
        <f t="shared" si="126"/>
        <v>0</v>
      </c>
      <c r="S209" s="3">
        <f t="shared" si="127"/>
        <v>0</v>
      </c>
      <c r="T209" s="3">
        <f t="shared" si="128"/>
        <v>0</v>
      </c>
      <c r="U209" s="3">
        <f t="shared" si="129"/>
        <v>0</v>
      </c>
      <c r="V209" s="3">
        <f t="shared" si="130"/>
        <v>0</v>
      </c>
      <c r="W209">
        <f t="shared" si="131"/>
        <v>0</v>
      </c>
    </row>
    <row r="210" spans="1:23" ht="45" x14ac:dyDescent="0.15">
      <c r="A210" s="10" t="s">
        <v>1612</v>
      </c>
      <c r="B210" s="9" t="s">
        <v>1194</v>
      </c>
      <c r="C210" s="8" t="s">
        <v>1003</v>
      </c>
      <c r="D210" s="5" t="s">
        <v>2244</v>
      </c>
      <c r="E210" s="4" t="s">
        <v>717</v>
      </c>
      <c r="F210" s="4" t="s">
        <v>514</v>
      </c>
      <c r="G210" s="7">
        <v>43095</v>
      </c>
      <c r="H210" s="6" t="s">
        <v>951</v>
      </c>
      <c r="I210" s="5" t="s">
        <v>1585</v>
      </c>
      <c r="J210" s="5"/>
      <c r="K210" s="7"/>
      <c r="L210" s="6"/>
      <c r="M210" s="5"/>
      <c r="N210" s="2" t="s">
        <v>1568</v>
      </c>
      <c r="Q210" s="3" t="b">
        <f t="shared" si="125"/>
        <v>0</v>
      </c>
      <c r="R210" s="3">
        <f t="shared" si="126"/>
        <v>0</v>
      </c>
      <c r="S210" s="3">
        <f t="shared" si="127"/>
        <v>0</v>
      </c>
      <c r="T210" s="3">
        <f t="shared" si="128"/>
        <v>0</v>
      </c>
      <c r="U210" s="3">
        <f t="shared" si="129"/>
        <v>0</v>
      </c>
      <c r="V210" s="3">
        <f t="shared" si="130"/>
        <v>0</v>
      </c>
      <c r="W210">
        <f t="shared" si="131"/>
        <v>0</v>
      </c>
    </row>
    <row r="211" spans="1:23" ht="45" x14ac:dyDescent="0.15">
      <c r="A211" s="10" t="s">
        <v>1642</v>
      </c>
      <c r="B211" s="9" t="s">
        <v>1305</v>
      </c>
      <c r="C211" s="8" t="s">
        <v>1003</v>
      </c>
      <c r="D211" s="5" t="s">
        <v>2163</v>
      </c>
      <c r="E211" s="4" t="s">
        <v>353</v>
      </c>
      <c r="F211" s="4" t="s">
        <v>503</v>
      </c>
      <c r="G211" s="7">
        <v>43095</v>
      </c>
      <c r="H211" s="6" t="s">
        <v>951</v>
      </c>
      <c r="I211" s="5" t="s">
        <v>1585</v>
      </c>
      <c r="J211" s="5"/>
      <c r="K211" s="7"/>
      <c r="L211" s="6"/>
      <c r="M211" s="5"/>
      <c r="N211" s="2" t="s">
        <v>1568</v>
      </c>
      <c r="Q211" s="3" t="b">
        <f t="shared" si="125"/>
        <v>0</v>
      </c>
      <c r="R211" s="3">
        <f t="shared" si="126"/>
        <v>0</v>
      </c>
      <c r="S211" s="3">
        <f t="shared" si="127"/>
        <v>0</v>
      </c>
      <c r="T211" s="3">
        <f t="shared" si="128"/>
        <v>0</v>
      </c>
      <c r="U211" s="3">
        <f t="shared" si="129"/>
        <v>0</v>
      </c>
      <c r="V211" s="3">
        <f t="shared" si="130"/>
        <v>0</v>
      </c>
      <c r="W211">
        <f t="shared" si="131"/>
        <v>0</v>
      </c>
    </row>
    <row r="212" spans="1:23" ht="45" x14ac:dyDescent="0.15">
      <c r="A212" s="10" t="s">
        <v>1659</v>
      </c>
      <c r="B212" s="9" t="s">
        <v>1208</v>
      </c>
      <c r="C212" s="8" t="s">
        <v>1003</v>
      </c>
      <c r="D212" s="5" t="s">
        <v>2244</v>
      </c>
      <c r="E212" s="4" t="s">
        <v>1348</v>
      </c>
      <c r="F212" s="4" t="s">
        <v>505</v>
      </c>
      <c r="G212" s="7">
        <v>43095</v>
      </c>
      <c r="H212" s="6" t="s">
        <v>951</v>
      </c>
      <c r="I212" s="5" t="s">
        <v>1585</v>
      </c>
      <c r="J212" s="5"/>
      <c r="K212" s="7"/>
      <c r="L212" s="6"/>
      <c r="M212" s="5"/>
      <c r="N212" s="2" t="s">
        <v>1568</v>
      </c>
      <c r="Q212" s="3" t="b">
        <f t="shared" si="125"/>
        <v>0</v>
      </c>
      <c r="R212" s="3">
        <f t="shared" si="126"/>
        <v>0</v>
      </c>
      <c r="S212" s="3">
        <f t="shared" si="127"/>
        <v>0</v>
      </c>
      <c r="T212" s="3">
        <f t="shared" si="128"/>
        <v>0</v>
      </c>
      <c r="U212" s="3">
        <f t="shared" si="129"/>
        <v>0</v>
      </c>
      <c r="V212" s="3">
        <f t="shared" si="130"/>
        <v>0</v>
      </c>
      <c r="W212">
        <f t="shared" si="131"/>
        <v>0</v>
      </c>
    </row>
    <row r="213" spans="1:23" ht="45" x14ac:dyDescent="0.15">
      <c r="A213" s="10" t="s">
        <v>1646</v>
      </c>
      <c r="B213" s="9" t="s">
        <v>1253</v>
      </c>
      <c r="C213" s="8" t="s">
        <v>1003</v>
      </c>
      <c r="D213" s="5" t="s">
        <v>2163</v>
      </c>
      <c r="E213" s="4" t="s">
        <v>64</v>
      </c>
      <c r="F213" s="4" t="s">
        <v>499</v>
      </c>
      <c r="G213" s="7">
        <v>43059</v>
      </c>
      <c r="H213" s="6" t="s">
        <v>951</v>
      </c>
      <c r="I213" s="5" t="s">
        <v>1593</v>
      </c>
      <c r="J213" s="5"/>
      <c r="K213" s="7"/>
      <c r="L213" s="6"/>
      <c r="M213" s="5"/>
      <c r="Q213" s="3">
        <f t="shared" si="125"/>
        <v>0</v>
      </c>
      <c r="R213" s="3">
        <f t="shared" si="126"/>
        <v>0</v>
      </c>
      <c r="S213" s="3">
        <f t="shared" si="127"/>
        <v>0</v>
      </c>
      <c r="T213" s="3">
        <f t="shared" si="128"/>
        <v>0</v>
      </c>
      <c r="U213" s="3">
        <f t="shared" si="129"/>
        <v>0</v>
      </c>
      <c r="V213" s="3">
        <f t="shared" si="130"/>
        <v>0</v>
      </c>
      <c r="W213">
        <f t="shared" si="131"/>
        <v>0</v>
      </c>
    </row>
    <row r="214" spans="1:23" ht="45" x14ac:dyDescent="0.15">
      <c r="A214" s="10" t="s">
        <v>1620</v>
      </c>
      <c r="B214" s="9" t="s">
        <v>1302</v>
      </c>
      <c r="C214" s="8" t="s">
        <v>1003</v>
      </c>
      <c r="D214" s="5" t="s">
        <v>2244</v>
      </c>
      <c r="E214" s="4" t="s">
        <v>717</v>
      </c>
      <c r="F214" s="4" t="s">
        <v>514</v>
      </c>
      <c r="G214" s="7">
        <v>43059</v>
      </c>
      <c r="H214" s="6" t="s">
        <v>951</v>
      </c>
      <c r="I214" s="5" t="s">
        <v>1593</v>
      </c>
      <c r="J214" s="5"/>
      <c r="K214" s="7"/>
      <c r="L214" s="6"/>
      <c r="M214" s="5"/>
      <c r="Q214" s="3">
        <f t="shared" si="125"/>
        <v>0</v>
      </c>
      <c r="R214" s="3">
        <f t="shared" si="126"/>
        <v>0</v>
      </c>
      <c r="S214" s="3">
        <f t="shared" si="127"/>
        <v>0</v>
      </c>
      <c r="T214" s="3">
        <f t="shared" si="128"/>
        <v>0</v>
      </c>
      <c r="U214" s="3">
        <f t="shared" si="129"/>
        <v>0</v>
      </c>
      <c r="V214" s="3">
        <f t="shared" si="130"/>
        <v>0</v>
      </c>
      <c r="W214">
        <f t="shared" si="131"/>
        <v>0</v>
      </c>
    </row>
    <row r="215" spans="1:23" ht="45" x14ac:dyDescent="0.15">
      <c r="A215" s="10" t="s">
        <v>1624</v>
      </c>
      <c r="B215" s="9" t="s">
        <v>760</v>
      </c>
      <c r="C215" s="8" t="s">
        <v>1003</v>
      </c>
      <c r="D215" s="5" t="s">
        <v>2163</v>
      </c>
      <c r="E215" s="4" t="s">
        <v>485</v>
      </c>
      <c r="F215" s="4" t="s">
        <v>503</v>
      </c>
      <c r="G215" s="7">
        <v>43059</v>
      </c>
      <c r="H215" s="6" t="s">
        <v>951</v>
      </c>
      <c r="I215" s="5" t="s">
        <v>1593</v>
      </c>
      <c r="J215" s="5"/>
      <c r="K215" s="7"/>
      <c r="L215" s="6"/>
      <c r="M215" s="5"/>
      <c r="Q215" s="3">
        <f t="shared" si="125"/>
        <v>0</v>
      </c>
      <c r="R215" s="3">
        <f t="shared" si="126"/>
        <v>0</v>
      </c>
      <c r="S215" s="3">
        <f t="shared" si="127"/>
        <v>0</v>
      </c>
      <c r="T215" s="3">
        <f t="shared" si="128"/>
        <v>0</v>
      </c>
      <c r="U215" s="3">
        <f t="shared" si="129"/>
        <v>0</v>
      </c>
      <c r="V215" s="3">
        <f t="shared" si="130"/>
        <v>0</v>
      </c>
      <c r="W215">
        <f t="shared" si="131"/>
        <v>0</v>
      </c>
    </row>
    <row r="216" spans="1:23" ht="45" x14ac:dyDescent="0.15">
      <c r="A216" s="10" t="s">
        <v>2236</v>
      </c>
      <c r="B216" s="9" t="s">
        <v>742</v>
      </c>
      <c r="C216" s="8" t="s">
        <v>1003</v>
      </c>
      <c r="D216" s="5" t="s">
        <v>2244</v>
      </c>
      <c r="E216" s="4" t="s">
        <v>1348</v>
      </c>
      <c r="F216" s="4" t="s">
        <v>505</v>
      </c>
      <c r="G216" s="7">
        <v>43059</v>
      </c>
      <c r="H216" s="6" t="s">
        <v>951</v>
      </c>
      <c r="I216" s="5" t="s">
        <v>1593</v>
      </c>
      <c r="J216" s="5"/>
      <c r="K216" s="7"/>
      <c r="L216" s="6"/>
      <c r="M216" s="5"/>
      <c r="Q216" s="3">
        <f t="shared" si="125"/>
        <v>0</v>
      </c>
      <c r="R216" s="3">
        <f t="shared" si="126"/>
        <v>0</v>
      </c>
      <c r="S216" s="3">
        <f t="shared" si="127"/>
        <v>0</v>
      </c>
      <c r="T216" s="3">
        <f t="shared" si="128"/>
        <v>0</v>
      </c>
      <c r="U216" s="3">
        <f t="shared" si="129"/>
        <v>0</v>
      </c>
      <c r="V216" s="3">
        <f t="shared" si="130"/>
        <v>0</v>
      </c>
      <c r="W216">
        <f t="shared" si="131"/>
        <v>0</v>
      </c>
    </row>
    <row r="217" spans="1:23" ht="45" x14ac:dyDescent="0.15">
      <c r="A217" s="10" t="s">
        <v>1635</v>
      </c>
      <c r="B217" s="9" t="s">
        <v>1235</v>
      </c>
      <c r="C217" s="8" t="s">
        <v>1003</v>
      </c>
      <c r="D217" s="5" t="s">
        <v>1210</v>
      </c>
      <c r="E217" s="4" t="s">
        <v>64</v>
      </c>
      <c r="F217" s="4" t="s">
        <v>499</v>
      </c>
      <c r="G217" s="7">
        <v>43095</v>
      </c>
      <c r="H217" s="6" t="s">
        <v>951</v>
      </c>
      <c r="I217" s="5" t="s">
        <v>1585</v>
      </c>
      <c r="J217" s="5"/>
      <c r="K217" s="7"/>
      <c r="L217" s="6"/>
      <c r="M217" s="5"/>
      <c r="N217" s="2" t="s">
        <v>1568</v>
      </c>
      <c r="Q217" s="3" t="b">
        <f t="shared" si="125"/>
        <v>0</v>
      </c>
      <c r="R217" s="3">
        <f t="shared" si="126"/>
        <v>0</v>
      </c>
      <c r="S217" s="3">
        <f t="shared" si="127"/>
        <v>0</v>
      </c>
      <c r="T217" s="3">
        <f t="shared" si="128"/>
        <v>0</v>
      </c>
      <c r="U217" s="3">
        <f t="shared" si="129"/>
        <v>0</v>
      </c>
      <c r="V217" s="3">
        <f t="shared" si="130"/>
        <v>0</v>
      </c>
      <c r="W217">
        <f t="shared" si="131"/>
        <v>0</v>
      </c>
    </row>
    <row r="218" spans="1:23" ht="45" x14ac:dyDescent="0.15">
      <c r="A218" s="10" t="s">
        <v>1625</v>
      </c>
      <c r="B218" s="9" t="s">
        <v>1247</v>
      </c>
      <c r="C218" s="8" t="s">
        <v>1003</v>
      </c>
      <c r="D218" s="5" t="s">
        <v>2244</v>
      </c>
      <c r="E218" s="4" t="s">
        <v>717</v>
      </c>
      <c r="F218" s="4" t="s">
        <v>514</v>
      </c>
      <c r="G218" s="7">
        <v>43095</v>
      </c>
      <c r="H218" s="6" t="s">
        <v>951</v>
      </c>
      <c r="I218" s="5" t="s">
        <v>1585</v>
      </c>
      <c r="J218" s="5"/>
      <c r="K218" s="7"/>
      <c r="L218" s="6"/>
      <c r="M218" s="5"/>
      <c r="N218" s="2" t="s">
        <v>1568</v>
      </c>
      <c r="Q218" s="3" t="b">
        <f t="shared" si="125"/>
        <v>0</v>
      </c>
      <c r="R218" s="3">
        <f t="shared" si="126"/>
        <v>0</v>
      </c>
      <c r="S218" s="3">
        <f t="shared" si="127"/>
        <v>0</v>
      </c>
      <c r="T218" s="3">
        <f t="shared" si="128"/>
        <v>0</v>
      </c>
      <c r="U218" s="3">
        <f t="shared" si="129"/>
        <v>0</v>
      </c>
      <c r="V218" s="3">
        <f t="shared" si="130"/>
        <v>0</v>
      </c>
      <c r="W218">
        <f t="shared" si="131"/>
        <v>0</v>
      </c>
    </row>
    <row r="219" spans="1:23" ht="45" x14ac:dyDescent="0.15">
      <c r="A219" s="10" t="s">
        <v>1621</v>
      </c>
      <c r="B219" s="9" t="s">
        <v>1228</v>
      </c>
      <c r="C219" s="8" t="s">
        <v>1003</v>
      </c>
      <c r="D219" s="5" t="s">
        <v>1210</v>
      </c>
      <c r="E219" s="4" t="s">
        <v>485</v>
      </c>
      <c r="F219" s="4" t="s">
        <v>503</v>
      </c>
      <c r="G219" s="7">
        <v>43095</v>
      </c>
      <c r="H219" s="6" t="s">
        <v>951</v>
      </c>
      <c r="I219" s="5" t="s">
        <v>1585</v>
      </c>
      <c r="J219" s="5"/>
      <c r="K219" s="7"/>
      <c r="L219" s="6"/>
      <c r="M219" s="5"/>
      <c r="N219" s="2" t="s">
        <v>1568</v>
      </c>
      <c r="Q219" s="3" t="b">
        <f t="shared" si="125"/>
        <v>0</v>
      </c>
      <c r="R219" s="3">
        <f t="shared" si="126"/>
        <v>0</v>
      </c>
      <c r="S219" s="3">
        <f t="shared" si="127"/>
        <v>0</v>
      </c>
      <c r="T219" s="3">
        <f t="shared" si="128"/>
        <v>0</v>
      </c>
      <c r="U219" s="3">
        <f t="shared" si="129"/>
        <v>0</v>
      </c>
      <c r="V219" s="3">
        <f t="shared" si="130"/>
        <v>0</v>
      </c>
      <c r="W219">
        <f t="shared" si="131"/>
        <v>0</v>
      </c>
    </row>
    <row r="220" spans="1:23" ht="45" x14ac:dyDescent="0.15">
      <c r="A220" s="10" t="s">
        <v>1647</v>
      </c>
      <c r="B220" s="9" t="s">
        <v>737</v>
      </c>
      <c r="C220" s="8" t="s">
        <v>1003</v>
      </c>
      <c r="D220" s="5" t="s">
        <v>2244</v>
      </c>
      <c r="E220" s="4" t="s">
        <v>1348</v>
      </c>
      <c r="F220" s="4" t="s">
        <v>505</v>
      </c>
      <c r="G220" s="7">
        <v>43095</v>
      </c>
      <c r="H220" s="6" t="s">
        <v>951</v>
      </c>
      <c r="I220" s="5" t="s">
        <v>1585</v>
      </c>
      <c r="J220" s="5"/>
      <c r="K220" s="7"/>
      <c r="L220" s="6"/>
      <c r="M220" s="5"/>
      <c r="N220" s="2" t="s">
        <v>1568</v>
      </c>
      <c r="Q220" s="3" t="b">
        <f t="shared" si="125"/>
        <v>0</v>
      </c>
      <c r="R220" s="3">
        <f t="shared" si="126"/>
        <v>0</v>
      </c>
      <c r="S220" s="3">
        <f t="shared" si="127"/>
        <v>0</v>
      </c>
      <c r="T220" s="3">
        <f t="shared" si="128"/>
        <v>0</v>
      </c>
      <c r="U220" s="3">
        <f t="shared" si="129"/>
        <v>0</v>
      </c>
      <c r="V220" s="3">
        <f t="shared" si="130"/>
        <v>0</v>
      </c>
      <c r="W220">
        <f t="shared" si="131"/>
        <v>0</v>
      </c>
    </row>
    <row r="221" spans="1:23" ht="45" x14ac:dyDescent="0.15">
      <c r="A221" s="10" t="s">
        <v>1827</v>
      </c>
      <c r="B221" s="9" t="s">
        <v>1082</v>
      </c>
      <c r="C221" s="8" t="s">
        <v>1003</v>
      </c>
      <c r="D221" s="5" t="s">
        <v>2163</v>
      </c>
      <c r="E221" s="4" t="s">
        <v>64</v>
      </c>
      <c r="F221" s="4" t="s">
        <v>499</v>
      </c>
      <c r="G221" s="7">
        <v>43090</v>
      </c>
      <c r="H221" s="6" t="s">
        <v>951</v>
      </c>
      <c r="I221" s="5" t="s">
        <v>1585</v>
      </c>
      <c r="J221" s="5"/>
      <c r="K221" s="7"/>
      <c r="L221" s="6"/>
      <c r="M221" s="5"/>
      <c r="Q221" s="3" t="b">
        <f t="shared" si="125"/>
        <v>0</v>
      </c>
      <c r="R221" s="3">
        <f t="shared" si="126"/>
        <v>0</v>
      </c>
      <c r="S221" s="3">
        <f t="shared" si="127"/>
        <v>0</v>
      </c>
      <c r="T221" s="3">
        <f t="shared" si="128"/>
        <v>0</v>
      </c>
      <c r="U221" s="3">
        <f t="shared" si="129"/>
        <v>0</v>
      </c>
      <c r="V221" s="3">
        <f t="shared" si="130"/>
        <v>0</v>
      </c>
      <c r="W221">
        <f t="shared" si="131"/>
        <v>0</v>
      </c>
    </row>
    <row r="222" spans="1:23" ht="45" x14ac:dyDescent="0.15">
      <c r="A222" s="10" t="s">
        <v>1654</v>
      </c>
      <c r="B222" s="9" t="s">
        <v>1062</v>
      </c>
      <c r="C222" s="8" t="s">
        <v>1003</v>
      </c>
      <c r="D222" s="5" t="s">
        <v>1590</v>
      </c>
      <c r="E222" s="4" t="s">
        <v>774</v>
      </c>
      <c r="F222" s="4" t="s">
        <v>514</v>
      </c>
      <c r="G222" s="7">
        <v>43090</v>
      </c>
      <c r="H222" s="6" t="s">
        <v>951</v>
      </c>
      <c r="I222" s="5" t="s">
        <v>1585</v>
      </c>
      <c r="J222" s="5"/>
      <c r="K222" s="7"/>
      <c r="L222" s="6"/>
      <c r="M222" s="5"/>
      <c r="Q222" s="3" t="b">
        <f t="shared" si="125"/>
        <v>0</v>
      </c>
      <c r="R222" s="3">
        <f t="shared" si="126"/>
        <v>0</v>
      </c>
      <c r="S222" s="3">
        <f t="shared" si="127"/>
        <v>0</v>
      </c>
      <c r="T222" s="3">
        <f t="shared" si="128"/>
        <v>0</v>
      </c>
      <c r="U222" s="3">
        <f t="shared" si="129"/>
        <v>0</v>
      </c>
      <c r="V222" s="3">
        <f t="shared" si="130"/>
        <v>0</v>
      </c>
      <c r="W222">
        <f t="shared" si="131"/>
        <v>0</v>
      </c>
    </row>
    <row r="223" spans="1:23" ht="45" x14ac:dyDescent="0.15">
      <c r="A223" s="10" t="s">
        <v>1600</v>
      </c>
      <c r="B223" s="9" t="s">
        <v>1069</v>
      </c>
      <c r="C223" s="8" t="s">
        <v>1003</v>
      </c>
      <c r="D223" s="5" t="s">
        <v>2163</v>
      </c>
      <c r="E223" s="4" t="s">
        <v>485</v>
      </c>
      <c r="F223" s="4" t="s">
        <v>503</v>
      </c>
      <c r="G223" s="7">
        <v>43090</v>
      </c>
      <c r="H223" s="6" t="s">
        <v>951</v>
      </c>
      <c r="I223" s="5" t="s">
        <v>1585</v>
      </c>
      <c r="J223" s="5"/>
      <c r="K223" s="7"/>
      <c r="L223" s="6"/>
      <c r="M223" s="5"/>
      <c r="Q223" s="3" t="b">
        <f t="shared" si="125"/>
        <v>0</v>
      </c>
      <c r="R223" s="3">
        <f t="shared" si="126"/>
        <v>0</v>
      </c>
      <c r="S223" s="3">
        <f t="shared" si="127"/>
        <v>0</v>
      </c>
      <c r="T223" s="3">
        <f t="shared" si="128"/>
        <v>0</v>
      </c>
      <c r="U223" s="3">
        <f t="shared" si="129"/>
        <v>0</v>
      </c>
      <c r="V223" s="3">
        <f t="shared" si="130"/>
        <v>0</v>
      </c>
      <c r="W223">
        <f t="shared" si="131"/>
        <v>0</v>
      </c>
    </row>
    <row r="224" spans="1:23" ht="45" x14ac:dyDescent="0.15">
      <c r="A224" s="10" t="s">
        <v>1638</v>
      </c>
      <c r="B224" s="9" t="s">
        <v>1163</v>
      </c>
      <c r="C224" s="8" t="s">
        <v>1003</v>
      </c>
      <c r="D224" s="5" t="s">
        <v>1590</v>
      </c>
      <c r="E224" s="4" t="s">
        <v>1348</v>
      </c>
      <c r="F224" s="4" t="s">
        <v>505</v>
      </c>
      <c r="G224" s="7">
        <v>43090</v>
      </c>
      <c r="H224" s="6" t="s">
        <v>951</v>
      </c>
      <c r="I224" s="5" t="s">
        <v>1585</v>
      </c>
      <c r="J224" s="5"/>
      <c r="K224" s="7"/>
      <c r="L224" s="6"/>
      <c r="M224" s="5"/>
      <c r="Q224" s="3" t="b">
        <f t="shared" si="125"/>
        <v>0</v>
      </c>
      <c r="R224" s="3">
        <f t="shared" si="126"/>
        <v>0</v>
      </c>
      <c r="S224" s="3">
        <f t="shared" si="127"/>
        <v>0</v>
      </c>
      <c r="T224" s="3">
        <f t="shared" si="128"/>
        <v>0</v>
      </c>
      <c r="U224" s="3">
        <f t="shared" si="129"/>
        <v>0</v>
      </c>
      <c r="V224" s="3">
        <f t="shared" si="130"/>
        <v>0</v>
      </c>
      <c r="W224">
        <f t="shared" si="131"/>
        <v>0</v>
      </c>
    </row>
    <row r="225" spans="1:23" x14ac:dyDescent="0.15">
      <c r="A225" s="16" t="s">
        <v>935</v>
      </c>
      <c r="B225" s="129" t="s">
        <v>571</v>
      </c>
      <c r="C225" s="130"/>
      <c r="D225" s="15" t="s">
        <v>1011</v>
      </c>
      <c r="E225" s="14" t="s">
        <v>1032</v>
      </c>
      <c r="F225" s="13" t="s">
        <v>2495</v>
      </c>
      <c r="G225" s="131" t="s">
        <v>668</v>
      </c>
      <c r="H225" s="132"/>
      <c r="I225" s="132"/>
      <c r="J225" s="132"/>
      <c r="K225" s="132"/>
      <c r="L225" s="132"/>
      <c r="M225" s="133"/>
    </row>
    <row r="226" spans="1:23" x14ac:dyDescent="0.15">
      <c r="A226" s="134" t="s">
        <v>977</v>
      </c>
      <c r="B226" s="136" t="s">
        <v>920</v>
      </c>
      <c r="C226" s="138" t="s">
        <v>1008</v>
      </c>
      <c r="D226" s="140" t="s">
        <v>1009</v>
      </c>
      <c r="E226" s="142" t="s">
        <v>2118</v>
      </c>
      <c r="F226" s="142" t="s">
        <v>1849</v>
      </c>
      <c r="G226" s="144" t="s">
        <v>994</v>
      </c>
      <c r="H226" s="145"/>
      <c r="I226" s="145"/>
      <c r="J226" s="146"/>
      <c r="K226" s="144" t="s">
        <v>982</v>
      </c>
      <c r="L226" s="145"/>
      <c r="M226" s="147"/>
    </row>
    <row r="227" spans="1:23" x14ac:dyDescent="0.15">
      <c r="A227" s="135"/>
      <c r="B227" s="137"/>
      <c r="C227" s="139"/>
      <c r="D227" s="141"/>
      <c r="E227" s="143"/>
      <c r="F227" s="143"/>
      <c r="G227" s="12" t="s">
        <v>1588</v>
      </c>
      <c r="H227" s="12" t="s">
        <v>1578</v>
      </c>
      <c r="I227" s="12" t="s">
        <v>1562</v>
      </c>
      <c r="J227" s="12" t="s">
        <v>1007</v>
      </c>
      <c r="K227" s="12" t="s">
        <v>1588</v>
      </c>
      <c r="L227" s="12" t="s">
        <v>1578</v>
      </c>
      <c r="M227" s="11" t="s">
        <v>1562</v>
      </c>
    </row>
    <row r="228" spans="1:23" ht="45" x14ac:dyDescent="0.15">
      <c r="A228" s="10" t="s">
        <v>2193</v>
      </c>
      <c r="B228" s="9" t="s">
        <v>750</v>
      </c>
      <c r="C228" s="8" t="s">
        <v>1003</v>
      </c>
      <c r="D228" s="5" t="s">
        <v>2244</v>
      </c>
      <c r="E228" s="4" t="s">
        <v>77</v>
      </c>
      <c r="F228" s="4" t="s">
        <v>514</v>
      </c>
      <c r="G228" s="7">
        <v>43059</v>
      </c>
      <c r="H228" s="6" t="s">
        <v>951</v>
      </c>
      <c r="I228" s="5" t="s">
        <v>1593</v>
      </c>
      <c r="J228" s="5"/>
      <c r="K228" s="7"/>
      <c r="L228" s="6"/>
      <c r="M228" s="5"/>
      <c r="Q228" s="3">
        <f t="shared" ref="Q228:Q235" si="132">IF($Q$6&gt;=G228,0)</f>
        <v>0</v>
      </c>
      <c r="R228" s="3">
        <f t="shared" ref="R228:R235" si="133">IF($R$6&gt;=G228,0)</f>
        <v>0</v>
      </c>
      <c r="S228" s="3">
        <f t="shared" ref="S228:S235" si="134">IF($S$6&gt;=G228,0)</f>
        <v>0</v>
      </c>
      <c r="T228" s="3">
        <f t="shared" ref="T228:T235" si="135">IF($T$6&gt;=G228,0)</f>
        <v>0</v>
      </c>
      <c r="U228" s="3">
        <f t="shared" ref="U228:U235" si="136">IF($U$6&gt;=G228,0)</f>
        <v>0</v>
      </c>
      <c r="V228" s="3">
        <f t="shared" ref="V228:V235" si="137">IF($V$6&gt;=G228,0)</f>
        <v>0</v>
      </c>
      <c r="W228">
        <f t="shared" ref="W228:W235" si="138">IF($W$6&gt;=G228,0)</f>
        <v>0</v>
      </c>
    </row>
    <row r="229" spans="1:23" ht="45" x14ac:dyDescent="0.15">
      <c r="A229" s="10" t="s">
        <v>2607</v>
      </c>
      <c r="B229" s="9" t="s">
        <v>1130</v>
      </c>
      <c r="C229" s="8" t="s">
        <v>1003</v>
      </c>
      <c r="D229" s="5" t="s">
        <v>972</v>
      </c>
      <c r="E229" s="4" t="s">
        <v>723</v>
      </c>
      <c r="F229" s="4" t="s">
        <v>514</v>
      </c>
      <c r="G229" s="7">
        <v>43095</v>
      </c>
      <c r="H229" s="6" t="s">
        <v>951</v>
      </c>
      <c r="I229" s="5" t="s">
        <v>1585</v>
      </c>
      <c r="J229" s="5"/>
      <c r="K229" s="7"/>
      <c r="L229" s="6"/>
      <c r="M229" s="5"/>
      <c r="N229" s="2" t="s">
        <v>1568</v>
      </c>
      <c r="Q229" s="3" t="b">
        <f t="shared" si="132"/>
        <v>0</v>
      </c>
      <c r="R229" s="3">
        <f t="shared" si="133"/>
        <v>0</v>
      </c>
      <c r="S229" s="3">
        <f t="shared" si="134"/>
        <v>0</v>
      </c>
      <c r="T229" s="3">
        <f t="shared" si="135"/>
        <v>0</v>
      </c>
      <c r="U229" s="3">
        <f t="shared" si="136"/>
        <v>0</v>
      </c>
      <c r="V229" s="3">
        <f t="shared" si="137"/>
        <v>0</v>
      </c>
      <c r="W229">
        <f t="shared" si="138"/>
        <v>0</v>
      </c>
    </row>
    <row r="230" spans="1:23" ht="45" x14ac:dyDescent="0.15">
      <c r="A230" s="10" t="s">
        <v>1617</v>
      </c>
      <c r="B230" s="9" t="s">
        <v>1264</v>
      </c>
      <c r="C230" s="8" t="s">
        <v>1003</v>
      </c>
      <c r="D230" s="5" t="s">
        <v>972</v>
      </c>
      <c r="E230" s="4" t="s">
        <v>723</v>
      </c>
      <c r="F230" s="4" t="s">
        <v>514</v>
      </c>
      <c r="G230" s="7">
        <v>43059</v>
      </c>
      <c r="H230" s="6" t="s">
        <v>951</v>
      </c>
      <c r="I230" s="5" t="s">
        <v>1593</v>
      </c>
      <c r="J230" s="5"/>
      <c r="K230" s="7"/>
      <c r="L230" s="6"/>
      <c r="M230" s="5"/>
      <c r="Q230" s="3">
        <f t="shared" si="132"/>
        <v>0</v>
      </c>
      <c r="R230" s="3">
        <f t="shared" si="133"/>
        <v>0</v>
      </c>
      <c r="S230" s="3">
        <f t="shared" si="134"/>
        <v>0</v>
      </c>
      <c r="T230" s="3">
        <f t="shared" si="135"/>
        <v>0</v>
      </c>
      <c r="U230" s="3">
        <f t="shared" si="136"/>
        <v>0</v>
      </c>
      <c r="V230" s="3">
        <f t="shared" si="137"/>
        <v>0</v>
      </c>
      <c r="W230">
        <f t="shared" si="138"/>
        <v>0</v>
      </c>
    </row>
    <row r="231" spans="1:23" ht="45" x14ac:dyDescent="0.15">
      <c r="A231" s="10" t="s">
        <v>1839</v>
      </c>
      <c r="B231" s="9" t="s">
        <v>1063</v>
      </c>
      <c r="C231" s="8" t="s">
        <v>1003</v>
      </c>
      <c r="D231" s="5" t="s">
        <v>972</v>
      </c>
      <c r="E231" s="4" t="s">
        <v>723</v>
      </c>
      <c r="F231" s="4" t="s">
        <v>514</v>
      </c>
      <c r="G231" s="7">
        <v>43095</v>
      </c>
      <c r="H231" s="6" t="s">
        <v>951</v>
      </c>
      <c r="I231" s="5" t="s">
        <v>1585</v>
      </c>
      <c r="J231" s="5"/>
      <c r="K231" s="7"/>
      <c r="L231" s="6"/>
      <c r="M231" s="5"/>
      <c r="N231" s="2" t="s">
        <v>1568</v>
      </c>
      <c r="Q231" s="3" t="b">
        <f t="shared" si="132"/>
        <v>0</v>
      </c>
      <c r="R231" s="3">
        <f t="shared" si="133"/>
        <v>0</v>
      </c>
      <c r="S231" s="3">
        <f t="shared" si="134"/>
        <v>0</v>
      </c>
      <c r="T231" s="3">
        <f t="shared" si="135"/>
        <v>0</v>
      </c>
      <c r="U231" s="3">
        <f t="shared" si="136"/>
        <v>0</v>
      </c>
      <c r="V231" s="3">
        <f t="shared" si="137"/>
        <v>0</v>
      </c>
      <c r="W231">
        <f t="shared" si="138"/>
        <v>0</v>
      </c>
    </row>
    <row r="232" spans="1:23" ht="45" x14ac:dyDescent="0.15">
      <c r="A232" s="10" t="s">
        <v>1643</v>
      </c>
      <c r="B232" s="9" t="s">
        <v>1238</v>
      </c>
      <c r="C232" s="8" t="s">
        <v>1003</v>
      </c>
      <c r="D232" s="5" t="s">
        <v>972</v>
      </c>
      <c r="E232" s="4" t="s">
        <v>723</v>
      </c>
      <c r="F232" s="4" t="s">
        <v>514</v>
      </c>
      <c r="G232" s="7">
        <v>43095</v>
      </c>
      <c r="H232" s="6" t="s">
        <v>951</v>
      </c>
      <c r="I232" s="5" t="s">
        <v>1585</v>
      </c>
      <c r="J232" s="5"/>
      <c r="K232" s="7"/>
      <c r="L232" s="6"/>
      <c r="M232" s="5"/>
      <c r="N232" s="2" t="s">
        <v>1568</v>
      </c>
      <c r="Q232" s="3" t="b">
        <f t="shared" si="132"/>
        <v>0</v>
      </c>
      <c r="R232" s="3">
        <f t="shared" si="133"/>
        <v>0</v>
      </c>
      <c r="S232" s="3">
        <f t="shared" si="134"/>
        <v>0</v>
      </c>
      <c r="T232" s="3">
        <f t="shared" si="135"/>
        <v>0</v>
      </c>
      <c r="U232" s="3">
        <f t="shared" si="136"/>
        <v>0</v>
      </c>
      <c r="V232" s="3">
        <f t="shared" si="137"/>
        <v>0</v>
      </c>
      <c r="W232">
        <f t="shared" si="138"/>
        <v>0</v>
      </c>
    </row>
    <row r="233" spans="1:23" ht="45" x14ac:dyDescent="0.15">
      <c r="A233" s="10" t="s">
        <v>1650</v>
      </c>
      <c r="B233" s="9" t="s">
        <v>1177</v>
      </c>
      <c r="C233" s="8" t="s">
        <v>1003</v>
      </c>
      <c r="D233" s="5" t="s">
        <v>972</v>
      </c>
      <c r="E233" s="4" t="s">
        <v>420</v>
      </c>
      <c r="F233" s="4" t="s">
        <v>514</v>
      </c>
      <c r="G233" s="7">
        <v>43059</v>
      </c>
      <c r="H233" s="6" t="s">
        <v>951</v>
      </c>
      <c r="I233" s="5" t="s">
        <v>1593</v>
      </c>
      <c r="J233" s="5"/>
      <c r="K233" s="7"/>
      <c r="L233" s="6"/>
      <c r="M233" s="5"/>
      <c r="Q233" s="3">
        <f t="shared" si="132"/>
        <v>0</v>
      </c>
      <c r="R233" s="3">
        <f t="shared" si="133"/>
        <v>0</v>
      </c>
      <c r="S233" s="3">
        <f t="shared" si="134"/>
        <v>0</v>
      </c>
      <c r="T233" s="3">
        <f t="shared" si="135"/>
        <v>0</v>
      </c>
      <c r="U233" s="3">
        <f t="shared" si="136"/>
        <v>0</v>
      </c>
      <c r="V233" s="3">
        <f t="shared" si="137"/>
        <v>0</v>
      </c>
      <c r="W233">
        <f t="shared" si="138"/>
        <v>0</v>
      </c>
    </row>
    <row r="234" spans="1:23" ht="45" x14ac:dyDescent="0.15">
      <c r="A234" s="10" t="s">
        <v>1626</v>
      </c>
      <c r="B234" s="9" t="s">
        <v>1156</v>
      </c>
      <c r="C234" s="8" t="s">
        <v>1003</v>
      </c>
      <c r="D234" s="5" t="s">
        <v>1590</v>
      </c>
      <c r="E234" s="4" t="s">
        <v>0</v>
      </c>
      <c r="F234" s="4" t="s">
        <v>514</v>
      </c>
      <c r="G234" s="7">
        <v>43095</v>
      </c>
      <c r="H234" s="6" t="s">
        <v>951</v>
      </c>
      <c r="I234" s="5" t="s">
        <v>1585</v>
      </c>
      <c r="J234" s="5"/>
      <c r="K234" s="7"/>
      <c r="L234" s="6"/>
      <c r="M234" s="5"/>
      <c r="N234" s="2" t="s">
        <v>1568</v>
      </c>
      <c r="Q234" s="3" t="b">
        <f t="shared" si="132"/>
        <v>0</v>
      </c>
      <c r="R234" s="3">
        <f t="shared" si="133"/>
        <v>0</v>
      </c>
      <c r="S234" s="3">
        <f t="shared" si="134"/>
        <v>0</v>
      </c>
      <c r="T234" s="3">
        <f t="shared" si="135"/>
        <v>0</v>
      </c>
      <c r="U234" s="3">
        <f t="shared" si="136"/>
        <v>0</v>
      </c>
      <c r="V234" s="3">
        <f t="shared" si="137"/>
        <v>0</v>
      </c>
      <c r="W234">
        <f t="shared" si="138"/>
        <v>0</v>
      </c>
    </row>
    <row r="235" spans="1:23" ht="45" x14ac:dyDescent="0.15">
      <c r="A235" s="10" t="s">
        <v>1778</v>
      </c>
      <c r="B235" s="9" t="s">
        <v>1068</v>
      </c>
      <c r="C235" s="8" t="s">
        <v>1003</v>
      </c>
      <c r="D235" s="5" t="s">
        <v>1590</v>
      </c>
      <c r="E235" s="4" t="s">
        <v>0</v>
      </c>
      <c r="F235" s="4" t="s">
        <v>514</v>
      </c>
      <c r="G235" s="7">
        <v>43090</v>
      </c>
      <c r="H235" s="6" t="s">
        <v>951</v>
      </c>
      <c r="I235" s="5" t="s">
        <v>1585</v>
      </c>
      <c r="J235" s="5"/>
      <c r="K235" s="7"/>
      <c r="L235" s="6"/>
      <c r="M235" s="5"/>
      <c r="Q235" s="3" t="b">
        <f t="shared" si="132"/>
        <v>0</v>
      </c>
      <c r="R235" s="3">
        <f t="shared" si="133"/>
        <v>0</v>
      </c>
      <c r="S235" s="3">
        <f t="shared" si="134"/>
        <v>0</v>
      </c>
      <c r="T235" s="3">
        <f t="shared" si="135"/>
        <v>0</v>
      </c>
      <c r="U235" s="3">
        <f t="shared" si="136"/>
        <v>0</v>
      </c>
      <c r="V235" s="3">
        <f t="shared" si="137"/>
        <v>0</v>
      </c>
      <c r="W235">
        <f t="shared" si="138"/>
        <v>0</v>
      </c>
    </row>
    <row r="236" spans="1:23" ht="22.5" x14ac:dyDescent="0.15">
      <c r="A236" s="16" t="s">
        <v>935</v>
      </c>
      <c r="B236" s="129" t="s">
        <v>1496</v>
      </c>
      <c r="C236" s="130"/>
      <c r="D236" s="15" t="s">
        <v>1011</v>
      </c>
      <c r="E236" s="14" t="s">
        <v>127</v>
      </c>
      <c r="F236" s="13" t="s">
        <v>2495</v>
      </c>
      <c r="G236" s="131" t="s">
        <v>1512</v>
      </c>
      <c r="H236" s="132"/>
      <c r="I236" s="132"/>
      <c r="J236" s="132"/>
      <c r="K236" s="132"/>
      <c r="L236" s="132"/>
      <c r="M236" s="133"/>
    </row>
    <row r="237" spans="1:23" x14ac:dyDescent="0.15">
      <c r="A237" s="134" t="s">
        <v>977</v>
      </c>
      <c r="B237" s="136" t="s">
        <v>920</v>
      </c>
      <c r="C237" s="138" t="s">
        <v>1008</v>
      </c>
      <c r="D237" s="140" t="s">
        <v>1009</v>
      </c>
      <c r="E237" s="142" t="s">
        <v>2118</v>
      </c>
      <c r="F237" s="142" t="s">
        <v>1849</v>
      </c>
      <c r="G237" s="144" t="s">
        <v>994</v>
      </c>
      <c r="H237" s="145"/>
      <c r="I237" s="145"/>
      <c r="J237" s="146"/>
      <c r="K237" s="144" t="s">
        <v>982</v>
      </c>
      <c r="L237" s="145"/>
      <c r="M237" s="147"/>
    </row>
    <row r="238" spans="1:23" x14ac:dyDescent="0.15">
      <c r="A238" s="135"/>
      <c r="B238" s="137"/>
      <c r="C238" s="139"/>
      <c r="D238" s="141"/>
      <c r="E238" s="143"/>
      <c r="F238" s="143"/>
      <c r="G238" s="12" t="s">
        <v>1588</v>
      </c>
      <c r="H238" s="12" t="s">
        <v>1578</v>
      </c>
      <c r="I238" s="12" t="s">
        <v>1562</v>
      </c>
      <c r="J238" s="12" t="s">
        <v>1007</v>
      </c>
      <c r="K238" s="12" t="s">
        <v>1588</v>
      </c>
      <c r="L238" s="12" t="s">
        <v>1578</v>
      </c>
      <c r="M238" s="11" t="s">
        <v>1562</v>
      </c>
    </row>
    <row r="239" spans="1:23" ht="78.75" x14ac:dyDescent="0.15">
      <c r="A239" s="30" t="s">
        <v>1627</v>
      </c>
      <c r="B239" s="29" t="s">
        <v>294</v>
      </c>
      <c r="C239" s="28" t="s">
        <v>938</v>
      </c>
      <c r="D239" s="45" t="s">
        <v>1198</v>
      </c>
      <c r="E239" s="26" t="s">
        <v>444</v>
      </c>
      <c r="F239" s="26" t="s">
        <v>784</v>
      </c>
      <c r="G239" s="7">
        <v>43074</v>
      </c>
      <c r="H239" s="6" t="s">
        <v>951</v>
      </c>
      <c r="I239" s="5" t="s">
        <v>1587</v>
      </c>
      <c r="J239" s="5"/>
      <c r="K239" s="7"/>
      <c r="L239" s="6"/>
      <c r="M239" s="5"/>
      <c r="Q239" s="3">
        <f t="shared" ref="Q239:Q242" si="139">IF($Q$6&gt;=G239,0)</f>
        <v>0</v>
      </c>
      <c r="R239" s="3">
        <f t="shared" ref="R239:R242" si="140">IF($R$6&gt;=G239,0)</f>
        <v>0</v>
      </c>
      <c r="S239" s="3">
        <f t="shared" ref="S239:S242" si="141">IF($S$6&gt;=G239,0)</f>
        <v>0</v>
      </c>
      <c r="T239" s="3">
        <f t="shared" ref="T239:T242" si="142">IF($T$6&gt;=G239,0)</f>
        <v>0</v>
      </c>
      <c r="U239" s="3">
        <f t="shared" ref="U239:U242" si="143">IF($U$6&gt;=G239,0)</f>
        <v>0</v>
      </c>
      <c r="V239" s="3">
        <f t="shared" ref="V239:V242" si="144">IF($V$6&gt;=G239,0)</f>
        <v>0</v>
      </c>
      <c r="W239">
        <f t="shared" ref="W239:W242" si="145">IF($W$6&gt;=G239,0)</f>
        <v>0</v>
      </c>
    </row>
    <row r="240" spans="1:23" ht="67.5" x14ac:dyDescent="0.15">
      <c r="A240" s="30" t="s">
        <v>2610</v>
      </c>
      <c r="B240" s="29" t="s">
        <v>316</v>
      </c>
      <c r="C240" s="28" t="s">
        <v>938</v>
      </c>
      <c r="D240" s="45" t="s">
        <v>1198</v>
      </c>
      <c r="E240" s="26" t="s">
        <v>772</v>
      </c>
      <c r="F240" s="26" t="s">
        <v>437</v>
      </c>
      <c r="G240" s="7">
        <v>43074</v>
      </c>
      <c r="H240" s="6" t="s">
        <v>951</v>
      </c>
      <c r="I240" s="5" t="s">
        <v>1587</v>
      </c>
      <c r="J240" s="5"/>
      <c r="K240" s="7"/>
      <c r="L240" s="6"/>
      <c r="M240" s="5"/>
      <c r="Q240" s="3">
        <f t="shared" si="139"/>
        <v>0</v>
      </c>
      <c r="R240" s="3">
        <f t="shared" si="140"/>
        <v>0</v>
      </c>
      <c r="S240" s="3">
        <f t="shared" si="141"/>
        <v>0</v>
      </c>
      <c r="T240" s="3">
        <f t="shared" si="142"/>
        <v>0</v>
      </c>
      <c r="U240" s="3">
        <f t="shared" si="143"/>
        <v>0</v>
      </c>
      <c r="V240" s="3">
        <f t="shared" si="144"/>
        <v>0</v>
      </c>
      <c r="W240">
        <f t="shared" si="145"/>
        <v>0</v>
      </c>
    </row>
    <row r="241" spans="1:23" ht="90" x14ac:dyDescent="0.15">
      <c r="A241" s="30" t="s">
        <v>2603</v>
      </c>
      <c r="B241" s="29" t="s">
        <v>306</v>
      </c>
      <c r="C241" s="28" t="s">
        <v>938</v>
      </c>
      <c r="D241" s="45" t="s">
        <v>1198</v>
      </c>
      <c r="E241" s="26" t="s">
        <v>685</v>
      </c>
      <c r="F241" s="26" t="s">
        <v>687</v>
      </c>
      <c r="G241" s="7">
        <v>43074</v>
      </c>
      <c r="H241" s="6" t="s">
        <v>951</v>
      </c>
      <c r="I241" s="5" t="s">
        <v>1587</v>
      </c>
      <c r="J241" s="5"/>
      <c r="K241" s="7"/>
      <c r="L241" s="6"/>
      <c r="M241" s="5"/>
      <c r="Q241" s="3">
        <f t="shared" si="139"/>
        <v>0</v>
      </c>
      <c r="R241" s="3">
        <f t="shared" si="140"/>
        <v>0</v>
      </c>
      <c r="S241" s="3">
        <f t="shared" si="141"/>
        <v>0</v>
      </c>
      <c r="T241" s="3">
        <f t="shared" si="142"/>
        <v>0</v>
      </c>
      <c r="U241" s="3">
        <f t="shared" si="143"/>
        <v>0</v>
      </c>
      <c r="V241" s="3">
        <f t="shared" si="144"/>
        <v>0</v>
      </c>
      <c r="W241">
        <f t="shared" si="145"/>
        <v>0</v>
      </c>
    </row>
    <row r="242" spans="1:23" ht="90" x14ac:dyDescent="0.15">
      <c r="A242" s="30" t="s">
        <v>1615</v>
      </c>
      <c r="B242" s="29" t="s">
        <v>234</v>
      </c>
      <c r="C242" s="28" t="s">
        <v>938</v>
      </c>
      <c r="D242" s="45" t="s">
        <v>1198</v>
      </c>
      <c r="E242" s="26" t="s">
        <v>1843</v>
      </c>
      <c r="F242" s="26" t="s">
        <v>686</v>
      </c>
      <c r="G242" s="7">
        <v>43074</v>
      </c>
      <c r="H242" s="6" t="s">
        <v>951</v>
      </c>
      <c r="I242" s="5" t="s">
        <v>1587</v>
      </c>
      <c r="J242" s="5"/>
      <c r="K242" s="7"/>
      <c r="L242" s="6"/>
      <c r="M242" s="5"/>
      <c r="Q242" s="3">
        <f t="shared" si="139"/>
        <v>0</v>
      </c>
      <c r="R242" s="3">
        <f t="shared" si="140"/>
        <v>0</v>
      </c>
      <c r="S242" s="3">
        <f t="shared" si="141"/>
        <v>0</v>
      </c>
      <c r="T242" s="3">
        <f t="shared" si="142"/>
        <v>0</v>
      </c>
      <c r="U242" s="3">
        <f t="shared" si="143"/>
        <v>0</v>
      </c>
      <c r="V242" s="3">
        <f t="shared" si="144"/>
        <v>0</v>
      </c>
      <c r="W242">
        <f t="shared" si="145"/>
        <v>0</v>
      </c>
    </row>
    <row r="243" spans="1:23" ht="22.5" x14ac:dyDescent="0.15">
      <c r="A243" s="16" t="s">
        <v>935</v>
      </c>
      <c r="B243" s="129" t="s">
        <v>34</v>
      </c>
      <c r="C243" s="130"/>
      <c r="D243" s="15" t="s">
        <v>1011</v>
      </c>
      <c r="E243" s="14" t="s">
        <v>524</v>
      </c>
      <c r="F243" s="13" t="s">
        <v>2495</v>
      </c>
      <c r="G243" s="131" t="s">
        <v>863</v>
      </c>
      <c r="H243" s="132"/>
      <c r="I243" s="132"/>
      <c r="J243" s="132"/>
      <c r="K243" s="132"/>
      <c r="L243" s="132"/>
      <c r="M243" s="133"/>
    </row>
    <row r="244" spans="1:23" x14ac:dyDescent="0.15">
      <c r="A244" s="134" t="s">
        <v>977</v>
      </c>
      <c r="B244" s="136" t="s">
        <v>920</v>
      </c>
      <c r="C244" s="138" t="s">
        <v>1008</v>
      </c>
      <c r="D244" s="140" t="s">
        <v>1009</v>
      </c>
      <c r="E244" s="142" t="s">
        <v>2118</v>
      </c>
      <c r="F244" s="142" t="s">
        <v>1849</v>
      </c>
      <c r="G244" s="144" t="s">
        <v>994</v>
      </c>
      <c r="H244" s="145"/>
      <c r="I244" s="145"/>
      <c r="J244" s="146"/>
      <c r="K244" s="144" t="s">
        <v>982</v>
      </c>
      <c r="L244" s="145"/>
      <c r="M244" s="147"/>
    </row>
    <row r="245" spans="1:23" x14ac:dyDescent="0.15">
      <c r="A245" s="135"/>
      <c r="B245" s="137"/>
      <c r="C245" s="139"/>
      <c r="D245" s="141"/>
      <c r="E245" s="143"/>
      <c r="F245" s="143"/>
      <c r="G245" s="12" t="s">
        <v>1588</v>
      </c>
      <c r="H245" s="12" t="s">
        <v>1578</v>
      </c>
      <c r="I245" s="12" t="s">
        <v>1562</v>
      </c>
      <c r="J245" s="12" t="s">
        <v>1007</v>
      </c>
      <c r="K245" s="12" t="s">
        <v>1588</v>
      </c>
      <c r="L245" s="12" t="s">
        <v>1578</v>
      </c>
      <c r="M245" s="11" t="s">
        <v>1562</v>
      </c>
    </row>
    <row r="246" spans="1:23" ht="33.75" x14ac:dyDescent="0.15">
      <c r="A246" s="30" t="s">
        <v>1775</v>
      </c>
      <c r="B246" s="29" t="s">
        <v>121</v>
      </c>
      <c r="C246" s="28" t="s">
        <v>938</v>
      </c>
      <c r="D246" s="27" t="s">
        <v>1036</v>
      </c>
      <c r="E246" s="26" t="s">
        <v>727</v>
      </c>
      <c r="F246" s="26" t="s">
        <v>2669</v>
      </c>
      <c r="G246" s="7">
        <v>43091</v>
      </c>
      <c r="H246" s="6" t="s">
        <v>951</v>
      </c>
      <c r="I246" s="5" t="s">
        <v>1596</v>
      </c>
      <c r="J246" s="5"/>
      <c r="K246" s="7"/>
      <c r="L246" s="6"/>
      <c r="M246" s="5"/>
      <c r="Q246" s="3" t="b">
        <f t="shared" ref="Q246:Q247" si="146">IF($Q$6&gt;=G246,0)</f>
        <v>0</v>
      </c>
      <c r="R246" s="3">
        <f t="shared" ref="R246:R247" si="147">IF($R$6&gt;=G246,0)</f>
        <v>0</v>
      </c>
      <c r="S246" s="3">
        <f t="shared" ref="S246:S247" si="148">IF($S$6&gt;=G246,0)</f>
        <v>0</v>
      </c>
      <c r="T246" s="3">
        <f t="shared" ref="T246:T247" si="149">IF($T$6&gt;=G246,0)</f>
        <v>0</v>
      </c>
      <c r="U246" s="3">
        <f t="shared" ref="U246:U247" si="150">IF($U$6&gt;=G246,0)</f>
        <v>0</v>
      </c>
      <c r="V246" s="3">
        <f t="shared" ref="V246:V247" si="151">IF($V$6&gt;=G246,0)</f>
        <v>0</v>
      </c>
      <c r="W246">
        <f t="shared" ref="W246:W247" si="152">IF($W$6&gt;=G246,0)</f>
        <v>0</v>
      </c>
    </row>
    <row r="247" spans="1:23" ht="67.5" x14ac:dyDescent="0.15">
      <c r="A247" s="30" t="s">
        <v>1645</v>
      </c>
      <c r="B247" s="29" t="s">
        <v>115</v>
      </c>
      <c r="C247" s="28" t="s">
        <v>1447</v>
      </c>
      <c r="D247" s="27"/>
      <c r="E247" s="26" t="s">
        <v>779</v>
      </c>
      <c r="F247" s="26" t="s">
        <v>441</v>
      </c>
      <c r="G247" s="7">
        <v>43091</v>
      </c>
      <c r="H247" s="6" t="s">
        <v>951</v>
      </c>
      <c r="I247" s="5" t="s">
        <v>1596</v>
      </c>
      <c r="J247" s="5"/>
      <c r="K247" s="7"/>
      <c r="L247" s="6"/>
      <c r="M247" s="5"/>
      <c r="Q247" s="3" t="b">
        <f t="shared" si="146"/>
        <v>0</v>
      </c>
      <c r="R247" s="3">
        <f t="shared" si="147"/>
        <v>0</v>
      </c>
      <c r="S247" s="3">
        <f t="shared" si="148"/>
        <v>0</v>
      </c>
      <c r="T247" s="3">
        <f t="shared" si="149"/>
        <v>0</v>
      </c>
      <c r="U247" s="3">
        <f t="shared" si="150"/>
        <v>0</v>
      </c>
      <c r="V247" s="3">
        <f t="shared" si="151"/>
        <v>0</v>
      </c>
      <c r="W247">
        <f t="shared" si="152"/>
        <v>0</v>
      </c>
    </row>
    <row r="248" spans="1:23" x14ac:dyDescent="0.15">
      <c r="A248" s="16" t="s">
        <v>935</v>
      </c>
      <c r="B248" s="129" t="s">
        <v>854</v>
      </c>
      <c r="C248" s="130"/>
      <c r="D248" s="15" t="s">
        <v>1011</v>
      </c>
      <c r="E248" s="14" t="s">
        <v>1290</v>
      </c>
      <c r="F248" s="13" t="s">
        <v>2495</v>
      </c>
      <c r="G248" s="131" t="s">
        <v>1524</v>
      </c>
      <c r="H248" s="132"/>
      <c r="I248" s="132"/>
      <c r="J248" s="132"/>
      <c r="K248" s="132"/>
      <c r="L248" s="132"/>
      <c r="M248" s="133"/>
    </row>
    <row r="249" spans="1:23" x14ac:dyDescent="0.15">
      <c r="A249" s="134" t="s">
        <v>977</v>
      </c>
      <c r="B249" s="136" t="s">
        <v>920</v>
      </c>
      <c r="C249" s="138" t="s">
        <v>1008</v>
      </c>
      <c r="D249" s="140" t="s">
        <v>1009</v>
      </c>
      <c r="E249" s="142" t="s">
        <v>2118</v>
      </c>
      <c r="F249" s="142" t="s">
        <v>1849</v>
      </c>
      <c r="G249" s="144" t="s">
        <v>994</v>
      </c>
      <c r="H249" s="145"/>
      <c r="I249" s="145"/>
      <c r="J249" s="146"/>
      <c r="K249" s="144" t="s">
        <v>982</v>
      </c>
      <c r="L249" s="145"/>
      <c r="M249" s="147"/>
    </row>
    <row r="250" spans="1:23" x14ac:dyDescent="0.15">
      <c r="A250" s="135"/>
      <c r="B250" s="137"/>
      <c r="C250" s="139"/>
      <c r="D250" s="141"/>
      <c r="E250" s="143"/>
      <c r="F250" s="143"/>
      <c r="G250" s="12" t="s">
        <v>1588</v>
      </c>
      <c r="H250" s="12" t="s">
        <v>1578</v>
      </c>
      <c r="I250" s="12" t="s">
        <v>1562</v>
      </c>
      <c r="J250" s="12" t="s">
        <v>1007</v>
      </c>
      <c r="K250" s="12" t="s">
        <v>1588</v>
      </c>
      <c r="L250" s="12" t="s">
        <v>1578</v>
      </c>
      <c r="M250" s="11" t="s">
        <v>1562</v>
      </c>
    </row>
    <row r="251" spans="1:23" ht="90" x14ac:dyDescent="0.15">
      <c r="A251" s="10" t="s">
        <v>1939</v>
      </c>
      <c r="B251" s="9" t="s">
        <v>793</v>
      </c>
      <c r="C251" s="8" t="s">
        <v>1003</v>
      </c>
      <c r="D251" s="5" t="s">
        <v>630</v>
      </c>
      <c r="E251" s="4" t="s">
        <v>683</v>
      </c>
      <c r="F251" s="4" t="s">
        <v>5</v>
      </c>
      <c r="G251" s="7">
        <v>43041</v>
      </c>
      <c r="H251" s="6" t="s">
        <v>951</v>
      </c>
      <c r="I251" s="5" t="s">
        <v>1579</v>
      </c>
      <c r="J251" s="5"/>
      <c r="K251" s="7"/>
      <c r="L251" s="6"/>
      <c r="M251" s="5"/>
      <c r="Q251" s="3">
        <f t="shared" ref="Q251:Q254" si="153">IF($Q$6&gt;=G251,0)</f>
        <v>0</v>
      </c>
      <c r="R251" s="3">
        <f t="shared" ref="R251:R254" si="154">IF($R$6&gt;=G251,0)</f>
        <v>0</v>
      </c>
      <c r="S251" s="3">
        <f t="shared" ref="S251:S254" si="155">IF($S$6&gt;=G251,0)</f>
        <v>0</v>
      </c>
      <c r="T251" s="3">
        <f t="shared" ref="T251:T254" si="156">IF($T$6&gt;=G251,0)</f>
        <v>0</v>
      </c>
      <c r="U251" s="3">
        <f t="shared" ref="U251:U254" si="157">IF($U$6&gt;=G251,0)</f>
        <v>0</v>
      </c>
      <c r="V251" s="3">
        <f t="shared" ref="V251:V254" si="158">IF($V$6&gt;=G251,0)</f>
        <v>0</v>
      </c>
      <c r="W251">
        <f t="shared" ref="W251:W254" si="159">IF($W$6&gt;=G251,0)</f>
        <v>0</v>
      </c>
    </row>
    <row r="252" spans="1:23" ht="45" x14ac:dyDescent="0.15">
      <c r="A252" s="10" t="s">
        <v>1761</v>
      </c>
      <c r="B252" s="9" t="s">
        <v>881</v>
      </c>
      <c r="C252" s="8" t="s">
        <v>1003</v>
      </c>
      <c r="D252" s="5" t="s">
        <v>630</v>
      </c>
      <c r="E252" s="4" t="s">
        <v>407</v>
      </c>
      <c r="F252" s="4" t="s">
        <v>382</v>
      </c>
      <c r="G252" s="7">
        <v>43041</v>
      </c>
      <c r="H252" s="6" t="s">
        <v>951</v>
      </c>
      <c r="I252" s="5" t="s">
        <v>1579</v>
      </c>
      <c r="J252" s="5"/>
      <c r="K252" s="7"/>
      <c r="L252" s="6"/>
      <c r="M252" s="5"/>
      <c r="Q252" s="3">
        <f t="shared" si="153"/>
        <v>0</v>
      </c>
      <c r="R252" s="3">
        <f t="shared" si="154"/>
        <v>0</v>
      </c>
      <c r="S252" s="3">
        <f t="shared" si="155"/>
        <v>0</v>
      </c>
      <c r="T252" s="3">
        <f t="shared" si="156"/>
        <v>0</v>
      </c>
      <c r="U252" s="3">
        <f t="shared" si="157"/>
        <v>0</v>
      </c>
      <c r="V252" s="3">
        <f t="shared" si="158"/>
        <v>0</v>
      </c>
      <c r="W252">
        <f t="shared" si="159"/>
        <v>0</v>
      </c>
    </row>
    <row r="253" spans="1:23" ht="90" x14ac:dyDescent="0.15">
      <c r="A253" s="10" t="s">
        <v>1606</v>
      </c>
      <c r="B253" s="9" t="s">
        <v>597</v>
      </c>
      <c r="C253" s="8" t="s">
        <v>1003</v>
      </c>
      <c r="D253" s="5" t="s">
        <v>630</v>
      </c>
      <c r="E253" s="4" t="s">
        <v>683</v>
      </c>
      <c r="F253" s="4" t="s">
        <v>8</v>
      </c>
      <c r="G253" s="7">
        <v>43041</v>
      </c>
      <c r="H253" s="6" t="s">
        <v>951</v>
      </c>
      <c r="I253" s="5" t="s">
        <v>1579</v>
      </c>
      <c r="J253" s="5"/>
      <c r="K253" s="7"/>
      <c r="L253" s="6"/>
      <c r="M253" s="5"/>
      <c r="Q253" s="3">
        <f t="shared" si="153"/>
        <v>0</v>
      </c>
      <c r="R253" s="3">
        <f t="shared" si="154"/>
        <v>0</v>
      </c>
      <c r="S253" s="3">
        <f t="shared" si="155"/>
        <v>0</v>
      </c>
      <c r="T253" s="3">
        <f t="shared" si="156"/>
        <v>0</v>
      </c>
      <c r="U253" s="3">
        <f t="shared" si="157"/>
        <v>0</v>
      </c>
      <c r="V253" s="3">
        <f t="shared" si="158"/>
        <v>0</v>
      </c>
      <c r="W253">
        <f t="shared" si="159"/>
        <v>0</v>
      </c>
    </row>
    <row r="254" spans="1:23" ht="67.5" x14ac:dyDescent="0.15">
      <c r="A254" s="10" t="s">
        <v>1613</v>
      </c>
      <c r="B254" s="9" t="s">
        <v>552</v>
      </c>
      <c r="C254" s="8" t="s">
        <v>1003</v>
      </c>
      <c r="D254" s="5" t="s">
        <v>630</v>
      </c>
      <c r="E254" s="4" t="s">
        <v>769</v>
      </c>
      <c r="F254" s="4" t="s">
        <v>725</v>
      </c>
      <c r="G254" s="7">
        <v>43041</v>
      </c>
      <c r="H254" s="6" t="s">
        <v>951</v>
      </c>
      <c r="I254" s="5" t="s">
        <v>1579</v>
      </c>
      <c r="J254" s="5"/>
      <c r="K254" s="7"/>
      <c r="L254" s="6"/>
      <c r="M254" s="5"/>
      <c r="Q254" s="3">
        <f t="shared" si="153"/>
        <v>0</v>
      </c>
      <c r="R254" s="3">
        <f t="shared" si="154"/>
        <v>0</v>
      </c>
      <c r="S254" s="3">
        <f t="shared" si="155"/>
        <v>0</v>
      </c>
      <c r="T254" s="3">
        <f t="shared" si="156"/>
        <v>0</v>
      </c>
      <c r="U254" s="3">
        <f t="shared" si="157"/>
        <v>0</v>
      </c>
      <c r="V254" s="3">
        <f t="shared" si="158"/>
        <v>0</v>
      </c>
      <c r="W254">
        <f t="shared" si="159"/>
        <v>0</v>
      </c>
    </row>
    <row r="255" spans="1:23" x14ac:dyDescent="0.15">
      <c r="A255" s="16" t="s">
        <v>935</v>
      </c>
      <c r="B255" s="129" t="s">
        <v>564</v>
      </c>
      <c r="C255" s="130"/>
      <c r="D255" s="15" t="s">
        <v>1011</v>
      </c>
      <c r="E255" s="14" t="s">
        <v>1178</v>
      </c>
      <c r="F255" s="13" t="s">
        <v>2495</v>
      </c>
      <c r="G255" s="131" t="s">
        <v>1487</v>
      </c>
      <c r="H255" s="132"/>
      <c r="I255" s="132"/>
      <c r="J255" s="132"/>
      <c r="K255" s="132"/>
      <c r="L255" s="132"/>
      <c r="M255" s="133"/>
    </row>
    <row r="256" spans="1:23" x14ac:dyDescent="0.15">
      <c r="A256" s="134" t="s">
        <v>977</v>
      </c>
      <c r="B256" s="136" t="s">
        <v>920</v>
      </c>
      <c r="C256" s="138" t="s">
        <v>1008</v>
      </c>
      <c r="D256" s="140" t="s">
        <v>1009</v>
      </c>
      <c r="E256" s="142" t="s">
        <v>2118</v>
      </c>
      <c r="F256" s="142" t="s">
        <v>1849</v>
      </c>
      <c r="G256" s="144" t="s">
        <v>994</v>
      </c>
      <c r="H256" s="145"/>
      <c r="I256" s="145"/>
      <c r="J256" s="146"/>
      <c r="K256" s="144" t="s">
        <v>982</v>
      </c>
      <c r="L256" s="145"/>
      <c r="M256" s="147"/>
    </row>
    <row r="257" spans="1:23" x14ac:dyDescent="0.15">
      <c r="A257" s="135"/>
      <c r="B257" s="137"/>
      <c r="C257" s="139"/>
      <c r="D257" s="141"/>
      <c r="E257" s="143"/>
      <c r="F257" s="143"/>
      <c r="G257" s="12" t="s">
        <v>1588</v>
      </c>
      <c r="H257" s="12" t="s">
        <v>1578</v>
      </c>
      <c r="I257" s="12" t="s">
        <v>1562</v>
      </c>
      <c r="J257" s="12" t="s">
        <v>1007</v>
      </c>
      <c r="K257" s="12" t="s">
        <v>1588</v>
      </c>
      <c r="L257" s="12" t="s">
        <v>1578</v>
      </c>
      <c r="M257" s="11" t="s">
        <v>1562</v>
      </c>
    </row>
    <row r="258" spans="1:23" ht="78.75" x14ac:dyDescent="0.15">
      <c r="A258" s="30" t="s">
        <v>1605</v>
      </c>
      <c r="B258" s="29" t="s">
        <v>1485</v>
      </c>
      <c r="C258" s="28" t="s">
        <v>1003</v>
      </c>
      <c r="D258" s="27" t="s">
        <v>1454</v>
      </c>
      <c r="E258" s="26" t="s">
        <v>54</v>
      </c>
      <c r="F258" s="26" t="s">
        <v>1377</v>
      </c>
      <c r="G258" s="7">
        <v>43074</v>
      </c>
      <c r="H258" s="6" t="s">
        <v>951</v>
      </c>
      <c r="I258" s="5" t="s">
        <v>1587</v>
      </c>
      <c r="J258" s="5"/>
      <c r="K258" s="7"/>
      <c r="L258" s="6"/>
      <c r="M258" s="5"/>
      <c r="Q258" s="3">
        <f t="shared" ref="Q258:Q261" si="160">IF($Q$6&gt;=G258,0)</f>
        <v>0</v>
      </c>
      <c r="R258" s="3">
        <f t="shared" ref="R258:R261" si="161">IF($R$6&gt;=G258,0)</f>
        <v>0</v>
      </c>
      <c r="S258" s="3">
        <f t="shared" ref="S258:S261" si="162">IF($S$6&gt;=G258,0)</f>
        <v>0</v>
      </c>
      <c r="T258" s="3">
        <f t="shared" ref="T258:T261" si="163">IF($T$6&gt;=G258,0)</f>
        <v>0</v>
      </c>
      <c r="U258" s="3">
        <f t="shared" ref="U258:U261" si="164">IF($U$6&gt;=G258,0)</f>
        <v>0</v>
      </c>
      <c r="V258" s="3">
        <f t="shared" ref="V258:V261" si="165">IF($V$6&gt;=G258,0)</f>
        <v>0</v>
      </c>
      <c r="W258">
        <f t="shared" ref="W258:W261" si="166">IF($W$6&gt;=G258,0)</f>
        <v>0</v>
      </c>
    </row>
    <row r="259" spans="1:23" ht="45" x14ac:dyDescent="0.15">
      <c r="A259" s="30" t="s">
        <v>1749</v>
      </c>
      <c r="B259" s="29" t="s">
        <v>529</v>
      </c>
      <c r="C259" s="28" t="s">
        <v>1003</v>
      </c>
      <c r="D259" s="27" t="s">
        <v>1454</v>
      </c>
      <c r="E259" s="26" t="s">
        <v>408</v>
      </c>
      <c r="F259" s="26" t="s">
        <v>476</v>
      </c>
      <c r="G259" s="7">
        <v>43074</v>
      </c>
      <c r="H259" s="6" t="s">
        <v>951</v>
      </c>
      <c r="I259" s="5" t="s">
        <v>1587</v>
      </c>
      <c r="J259" s="5"/>
      <c r="K259" s="7"/>
      <c r="L259" s="6"/>
      <c r="M259" s="5"/>
      <c r="Q259" s="3">
        <f t="shared" si="160"/>
        <v>0</v>
      </c>
      <c r="R259" s="3">
        <f t="shared" si="161"/>
        <v>0</v>
      </c>
      <c r="S259" s="3">
        <f t="shared" si="162"/>
        <v>0</v>
      </c>
      <c r="T259" s="3">
        <f t="shared" si="163"/>
        <v>0</v>
      </c>
      <c r="U259" s="3">
        <f t="shared" si="164"/>
        <v>0</v>
      </c>
      <c r="V259" s="3">
        <f t="shared" si="165"/>
        <v>0</v>
      </c>
      <c r="W259">
        <f t="shared" si="166"/>
        <v>0</v>
      </c>
    </row>
    <row r="260" spans="1:23" ht="67.5" x14ac:dyDescent="0.15">
      <c r="A260" s="30" t="s">
        <v>1644</v>
      </c>
      <c r="B260" s="29" t="s">
        <v>1510</v>
      </c>
      <c r="C260" s="28" t="s">
        <v>1003</v>
      </c>
      <c r="D260" s="27" t="s">
        <v>1454</v>
      </c>
      <c r="E260" s="26" t="s">
        <v>778</v>
      </c>
      <c r="F260" s="26" t="s">
        <v>695</v>
      </c>
      <c r="G260" s="7">
        <v>43074</v>
      </c>
      <c r="H260" s="6" t="s">
        <v>951</v>
      </c>
      <c r="I260" s="5" t="s">
        <v>1587</v>
      </c>
      <c r="J260" s="5"/>
      <c r="K260" s="7"/>
      <c r="L260" s="6"/>
      <c r="M260" s="5"/>
      <c r="Q260" s="3">
        <f t="shared" si="160"/>
        <v>0</v>
      </c>
      <c r="R260" s="3">
        <f t="shared" si="161"/>
        <v>0</v>
      </c>
      <c r="S260" s="3">
        <f t="shared" si="162"/>
        <v>0</v>
      </c>
      <c r="T260" s="3">
        <f t="shared" si="163"/>
        <v>0</v>
      </c>
      <c r="U260" s="3">
        <f t="shared" si="164"/>
        <v>0</v>
      </c>
      <c r="V260" s="3">
        <f t="shared" si="165"/>
        <v>0</v>
      </c>
      <c r="W260">
        <f t="shared" si="166"/>
        <v>0</v>
      </c>
    </row>
    <row r="261" spans="1:23" ht="67.5" x14ac:dyDescent="0.15">
      <c r="A261" s="30" t="s">
        <v>1608</v>
      </c>
      <c r="B261" s="29" t="s">
        <v>584</v>
      </c>
      <c r="C261" s="28" t="s">
        <v>1003</v>
      </c>
      <c r="D261" s="27" t="s">
        <v>1454</v>
      </c>
      <c r="E261" s="26" t="s">
        <v>96</v>
      </c>
      <c r="F261" s="26" t="s">
        <v>701</v>
      </c>
      <c r="G261" s="7">
        <v>43074</v>
      </c>
      <c r="H261" s="6" t="s">
        <v>951</v>
      </c>
      <c r="I261" s="5" t="s">
        <v>1587</v>
      </c>
      <c r="J261" s="5"/>
      <c r="K261" s="7"/>
      <c r="L261" s="6"/>
      <c r="M261" s="5"/>
      <c r="Q261" s="3">
        <f t="shared" si="160"/>
        <v>0</v>
      </c>
      <c r="R261" s="3">
        <f t="shared" si="161"/>
        <v>0</v>
      </c>
      <c r="S261" s="3">
        <f t="shared" si="162"/>
        <v>0</v>
      </c>
      <c r="T261" s="3">
        <f t="shared" si="163"/>
        <v>0</v>
      </c>
      <c r="U261" s="3">
        <f t="shared" si="164"/>
        <v>0</v>
      </c>
      <c r="V261" s="3">
        <f t="shared" si="165"/>
        <v>0</v>
      </c>
      <c r="W261">
        <f t="shared" si="166"/>
        <v>0</v>
      </c>
    </row>
    <row r="262" spans="1:23" ht="22.5" x14ac:dyDescent="0.15">
      <c r="A262" s="16" t="s">
        <v>935</v>
      </c>
      <c r="B262" s="129" t="s">
        <v>52</v>
      </c>
      <c r="C262" s="130"/>
      <c r="D262" s="15" t="s">
        <v>1011</v>
      </c>
      <c r="E262" s="14" t="s">
        <v>525</v>
      </c>
      <c r="F262" s="13" t="s">
        <v>2495</v>
      </c>
      <c r="G262" s="131" t="s">
        <v>1516</v>
      </c>
      <c r="H262" s="132"/>
      <c r="I262" s="132"/>
      <c r="J262" s="132"/>
      <c r="K262" s="132"/>
      <c r="L262" s="132"/>
      <c r="M262" s="133"/>
    </row>
    <row r="263" spans="1:23" x14ac:dyDescent="0.15">
      <c r="A263" s="134" t="s">
        <v>977</v>
      </c>
      <c r="B263" s="136" t="s">
        <v>920</v>
      </c>
      <c r="C263" s="138" t="s">
        <v>1008</v>
      </c>
      <c r="D263" s="140" t="s">
        <v>1009</v>
      </c>
      <c r="E263" s="142" t="s">
        <v>2118</v>
      </c>
      <c r="F263" s="142" t="s">
        <v>1849</v>
      </c>
      <c r="G263" s="144" t="s">
        <v>994</v>
      </c>
      <c r="H263" s="145"/>
      <c r="I263" s="145"/>
      <c r="J263" s="146"/>
      <c r="K263" s="144" t="s">
        <v>982</v>
      </c>
      <c r="L263" s="145"/>
      <c r="M263" s="147"/>
    </row>
    <row r="264" spans="1:23" x14ac:dyDescent="0.15">
      <c r="A264" s="135"/>
      <c r="B264" s="137"/>
      <c r="C264" s="139"/>
      <c r="D264" s="141"/>
      <c r="E264" s="143"/>
      <c r="F264" s="143"/>
      <c r="G264" s="12" t="s">
        <v>1588</v>
      </c>
      <c r="H264" s="12" t="s">
        <v>1578</v>
      </c>
      <c r="I264" s="12" t="s">
        <v>1562</v>
      </c>
      <c r="J264" s="12" t="s">
        <v>1007</v>
      </c>
      <c r="K264" s="12" t="s">
        <v>1588</v>
      </c>
      <c r="L264" s="12" t="s">
        <v>1578</v>
      </c>
      <c r="M264" s="11" t="s">
        <v>1562</v>
      </c>
    </row>
    <row r="265" spans="1:23" ht="33.75" x14ac:dyDescent="0.15">
      <c r="A265" s="30" t="s">
        <v>2606</v>
      </c>
      <c r="B265" s="29" t="s">
        <v>1356</v>
      </c>
      <c r="C265" s="28" t="s">
        <v>1003</v>
      </c>
      <c r="D265" s="27" t="s">
        <v>1036</v>
      </c>
      <c r="E265" s="26" t="s">
        <v>438</v>
      </c>
      <c r="F265" s="26" t="s">
        <v>2669</v>
      </c>
      <c r="G265" s="25">
        <v>43091</v>
      </c>
      <c r="H265" s="6" t="s">
        <v>951</v>
      </c>
      <c r="I265" s="5" t="s">
        <v>1596</v>
      </c>
      <c r="J265" s="5"/>
      <c r="K265" s="7"/>
      <c r="L265" s="6"/>
      <c r="M265" s="5"/>
      <c r="Q265" s="3" t="b">
        <f t="shared" ref="Q265:Q266" si="167">IF($Q$6&gt;=G265,0)</f>
        <v>0</v>
      </c>
      <c r="R265" s="3">
        <f t="shared" ref="R265:R266" si="168">IF($R$6&gt;=G265,0)</f>
        <v>0</v>
      </c>
      <c r="S265" s="3">
        <f t="shared" ref="S265:S266" si="169">IF($S$6&gt;=G265,0)</f>
        <v>0</v>
      </c>
      <c r="T265" s="3">
        <f t="shared" ref="T265:T266" si="170">IF($T$6&gt;=G265,0)</f>
        <v>0</v>
      </c>
      <c r="U265" s="3">
        <f t="shared" ref="U265:U266" si="171">IF($U$6&gt;=G265,0)</f>
        <v>0</v>
      </c>
      <c r="V265" s="3">
        <f t="shared" ref="V265:V266" si="172">IF($V$6&gt;=G265,0)</f>
        <v>0</v>
      </c>
      <c r="W265">
        <f t="shared" ref="W265:W266" si="173">IF($W$6&gt;=G265,0)</f>
        <v>0</v>
      </c>
    </row>
    <row r="266" spans="1:23" ht="67.5" x14ac:dyDescent="0.15">
      <c r="A266" s="30" t="s">
        <v>2011</v>
      </c>
      <c r="B266" s="29" t="s">
        <v>1346</v>
      </c>
      <c r="C266" s="28" t="s">
        <v>1447</v>
      </c>
      <c r="D266" s="27" t="s">
        <v>1072</v>
      </c>
      <c r="E266" s="26" t="s">
        <v>779</v>
      </c>
      <c r="F266" s="26" t="s">
        <v>441</v>
      </c>
      <c r="G266" s="25">
        <v>43091</v>
      </c>
      <c r="H266" s="6" t="s">
        <v>951</v>
      </c>
      <c r="I266" s="5" t="s">
        <v>1596</v>
      </c>
      <c r="J266" s="5"/>
      <c r="K266" s="7"/>
      <c r="L266" s="6"/>
      <c r="M266" s="5"/>
      <c r="Q266" s="3" t="b">
        <f t="shared" si="167"/>
        <v>0</v>
      </c>
      <c r="R266" s="3">
        <f t="shared" si="168"/>
        <v>0</v>
      </c>
      <c r="S266" s="3">
        <f t="shared" si="169"/>
        <v>0</v>
      </c>
      <c r="T266" s="3">
        <f t="shared" si="170"/>
        <v>0</v>
      </c>
      <c r="U266" s="3">
        <f t="shared" si="171"/>
        <v>0</v>
      </c>
      <c r="V266" s="3">
        <f t="shared" si="172"/>
        <v>0</v>
      </c>
      <c r="W266">
        <f t="shared" si="173"/>
        <v>0</v>
      </c>
    </row>
    <row r="267" spans="1:23" x14ac:dyDescent="0.15">
      <c r="A267" s="16" t="s">
        <v>935</v>
      </c>
      <c r="B267" s="129" t="s">
        <v>1481</v>
      </c>
      <c r="C267" s="130"/>
      <c r="D267" s="15" t="s">
        <v>1011</v>
      </c>
      <c r="E267" s="14" t="s">
        <v>1049</v>
      </c>
      <c r="F267" s="13" t="s">
        <v>2495</v>
      </c>
      <c r="G267" s="131" t="s">
        <v>877</v>
      </c>
      <c r="H267" s="132"/>
      <c r="I267" s="132"/>
      <c r="J267" s="132"/>
      <c r="K267" s="132"/>
      <c r="L267" s="132"/>
      <c r="M267" s="133"/>
    </row>
    <row r="268" spans="1:23" x14ac:dyDescent="0.15">
      <c r="A268" s="134" t="s">
        <v>977</v>
      </c>
      <c r="B268" s="136" t="s">
        <v>920</v>
      </c>
      <c r="C268" s="138" t="s">
        <v>1008</v>
      </c>
      <c r="D268" s="140" t="s">
        <v>1009</v>
      </c>
      <c r="E268" s="142" t="s">
        <v>2118</v>
      </c>
      <c r="F268" s="142" t="s">
        <v>1849</v>
      </c>
      <c r="G268" s="144" t="s">
        <v>994</v>
      </c>
      <c r="H268" s="145"/>
      <c r="I268" s="145"/>
      <c r="J268" s="146"/>
      <c r="K268" s="144" t="s">
        <v>982</v>
      </c>
      <c r="L268" s="145"/>
      <c r="M268" s="147"/>
    </row>
    <row r="269" spans="1:23" x14ac:dyDescent="0.15">
      <c r="A269" s="135"/>
      <c r="B269" s="137"/>
      <c r="C269" s="139"/>
      <c r="D269" s="141"/>
      <c r="E269" s="143"/>
      <c r="F269" s="143"/>
      <c r="G269" s="12" t="s">
        <v>1588</v>
      </c>
      <c r="H269" s="12" t="s">
        <v>1578</v>
      </c>
      <c r="I269" s="12" t="s">
        <v>1562</v>
      </c>
      <c r="J269" s="12" t="s">
        <v>1007</v>
      </c>
      <c r="K269" s="12" t="s">
        <v>1588</v>
      </c>
      <c r="L269" s="12" t="s">
        <v>1578</v>
      </c>
      <c r="M269" s="11" t="s">
        <v>1562</v>
      </c>
    </row>
    <row r="270" spans="1:23" ht="45" x14ac:dyDescent="0.15">
      <c r="A270" s="30" t="s">
        <v>1633</v>
      </c>
      <c r="B270" s="29" t="s">
        <v>740</v>
      </c>
      <c r="C270" s="28" t="s">
        <v>938</v>
      </c>
      <c r="D270" s="27" t="s">
        <v>2714</v>
      </c>
      <c r="E270" s="26" t="s">
        <v>427</v>
      </c>
      <c r="F270" s="26" t="s">
        <v>2669</v>
      </c>
      <c r="G270" s="25">
        <v>43091</v>
      </c>
      <c r="H270" s="6" t="s">
        <v>951</v>
      </c>
      <c r="I270" s="5" t="s">
        <v>1596</v>
      </c>
      <c r="J270" s="5"/>
      <c r="K270" s="7"/>
      <c r="L270" s="6"/>
      <c r="M270" s="5"/>
      <c r="Q270" s="3" t="b">
        <f t="shared" ref="Q270:Q271" si="174">IF($Q$6&gt;=G270,0)</f>
        <v>0</v>
      </c>
      <c r="R270" s="3">
        <f t="shared" ref="R270:R271" si="175">IF($R$6&gt;=G270,0)</f>
        <v>0</v>
      </c>
      <c r="S270" s="3">
        <f t="shared" ref="S270:S271" si="176">IF($S$6&gt;=G270,0)</f>
        <v>0</v>
      </c>
      <c r="T270" s="3">
        <f t="shared" ref="T270:T271" si="177">IF($T$6&gt;=G270,0)</f>
        <v>0</v>
      </c>
      <c r="U270" s="3">
        <f t="shared" ref="U270:U271" si="178">IF($U$6&gt;=G270,0)</f>
        <v>0</v>
      </c>
      <c r="V270" s="3">
        <f t="shared" ref="V270:V271" si="179">IF($V$6&gt;=G270,0)</f>
        <v>0</v>
      </c>
      <c r="W270">
        <f t="shared" ref="W270:W271" si="180">IF($W$6&gt;=G270,0)</f>
        <v>0</v>
      </c>
    </row>
    <row r="271" spans="1:23" ht="67.5" x14ac:dyDescent="0.15">
      <c r="A271" s="30" t="s">
        <v>2613</v>
      </c>
      <c r="B271" s="29" t="s">
        <v>1304</v>
      </c>
      <c r="C271" s="28" t="s">
        <v>1447</v>
      </c>
      <c r="D271" s="27" t="s">
        <v>1072</v>
      </c>
      <c r="E271" s="26" t="s">
        <v>776</v>
      </c>
      <c r="F271" s="26" t="s">
        <v>763</v>
      </c>
      <c r="G271" s="25">
        <v>43091</v>
      </c>
      <c r="H271" s="6" t="s">
        <v>951</v>
      </c>
      <c r="I271" s="5" t="s">
        <v>1596</v>
      </c>
      <c r="J271" s="5"/>
      <c r="K271" s="7"/>
      <c r="L271" s="6"/>
      <c r="M271" s="5"/>
      <c r="Q271" s="3" t="b">
        <f t="shared" si="174"/>
        <v>0</v>
      </c>
      <c r="R271" s="3">
        <f t="shared" si="175"/>
        <v>0</v>
      </c>
      <c r="S271" s="3">
        <f t="shared" si="176"/>
        <v>0</v>
      </c>
      <c r="T271" s="3">
        <f t="shared" si="177"/>
        <v>0</v>
      </c>
      <c r="U271" s="3">
        <f t="shared" si="178"/>
        <v>0</v>
      </c>
      <c r="V271" s="3">
        <f t="shared" si="179"/>
        <v>0</v>
      </c>
      <c r="W271">
        <f t="shared" si="180"/>
        <v>0</v>
      </c>
    </row>
    <row r="272" spans="1:23" x14ac:dyDescent="0.15">
      <c r="A272" s="16" t="s">
        <v>935</v>
      </c>
      <c r="B272" s="129" t="s">
        <v>858</v>
      </c>
      <c r="C272" s="130"/>
      <c r="D272" s="15" t="s">
        <v>1011</v>
      </c>
      <c r="E272" s="14" t="s">
        <v>303</v>
      </c>
      <c r="F272" s="13" t="s">
        <v>2495</v>
      </c>
      <c r="G272" s="131" t="s">
        <v>836</v>
      </c>
      <c r="H272" s="132"/>
      <c r="I272" s="132"/>
      <c r="J272" s="132"/>
      <c r="K272" s="132"/>
      <c r="L272" s="132"/>
      <c r="M272" s="133"/>
    </row>
    <row r="273" spans="1:23" x14ac:dyDescent="0.15">
      <c r="A273" s="134" t="s">
        <v>977</v>
      </c>
      <c r="B273" s="136" t="s">
        <v>920</v>
      </c>
      <c r="C273" s="138" t="s">
        <v>1008</v>
      </c>
      <c r="D273" s="140" t="s">
        <v>1009</v>
      </c>
      <c r="E273" s="142" t="s">
        <v>2118</v>
      </c>
      <c r="F273" s="142" t="s">
        <v>1849</v>
      </c>
      <c r="G273" s="144" t="s">
        <v>994</v>
      </c>
      <c r="H273" s="145"/>
      <c r="I273" s="145"/>
      <c r="J273" s="146"/>
      <c r="K273" s="144" t="s">
        <v>982</v>
      </c>
      <c r="L273" s="145"/>
      <c r="M273" s="147"/>
    </row>
    <row r="274" spans="1:23" x14ac:dyDescent="0.15">
      <c r="A274" s="135"/>
      <c r="B274" s="137"/>
      <c r="C274" s="139"/>
      <c r="D274" s="141"/>
      <c r="E274" s="143"/>
      <c r="F274" s="143"/>
      <c r="G274" s="12" t="s">
        <v>1588</v>
      </c>
      <c r="H274" s="12" t="s">
        <v>1578</v>
      </c>
      <c r="I274" s="12" t="s">
        <v>1562</v>
      </c>
      <c r="J274" s="12" t="s">
        <v>1007</v>
      </c>
      <c r="K274" s="12" t="s">
        <v>1588</v>
      </c>
      <c r="L274" s="12" t="s">
        <v>1578</v>
      </c>
      <c r="M274" s="11" t="s">
        <v>1562</v>
      </c>
    </row>
    <row r="275" spans="1:23" ht="90" x14ac:dyDescent="0.15">
      <c r="A275" s="10" t="s">
        <v>1924</v>
      </c>
      <c r="B275" s="9" t="s">
        <v>1303</v>
      </c>
      <c r="C275" s="8" t="s">
        <v>1003</v>
      </c>
      <c r="D275" s="5" t="s">
        <v>1216</v>
      </c>
      <c r="E275" s="4" t="s">
        <v>888</v>
      </c>
      <c r="F275" s="4" t="s">
        <v>445</v>
      </c>
      <c r="G275" s="7">
        <v>43041</v>
      </c>
      <c r="H275" s="6" t="s">
        <v>951</v>
      </c>
      <c r="I275" s="5" t="s">
        <v>1579</v>
      </c>
      <c r="J275" s="5"/>
      <c r="K275" s="7"/>
      <c r="L275" s="6"/>
      <c r="M275" s="5"/>
      <c r="Q275" s="3">
        <f t="shared" ref="Q275:Q278" si="181">IF($Q$6&gt;=G275,0)</f>
        <v>0</v>
      </c>
      <c r="R275" s="3">
        <f t="shared" ref="R275:R278" si="182">IF($R$6&gt;=G275,0)</f>
        <v>0</v>
      </c>
      <c r="S275" s="3">
        <f t="shared" ref="S275:S278" si="183">IF($S$6&gt;=G275,0)</f>
        <v>0</v>
      </c>
      <c r="T275" s="3">
        <f t="shared" ref="T275:T278" si="184">IF($T$6&gt;=G275,0)</f>
        <v>0</v>
      </c>
      <c r="U275" s="3">
        <f t="shared" ref="U275:U278" si="185">IF($U$6&gt;=G275,0)</f>
        <v>0</v>
      </c>
      <c r="V275" s="3">
        <f t="shared" ref="V275:V278" si="186">IF($V$6&gt;=G275,0)</f>
        <v>0</v>
      </c>
      <c r="W275">
        <f t="shared" ref="W275:W278" si="187">IF($W$6&gt;=G275,0)</f>
        <v>0</v>
      </c>
    </row>
    <row r="276" spans="1:23" ht="56.25" x14ac:dyDescent="0.15">
      <c r="A276" s="10" t="s">
        <v>1629</v>
      </c>
      <c r="B276" s="9" t="s">
        <v>1241</v>
      </c>
      <c r="C276" s="8" t="s">
        <v>1003</v>
      </c>
      <c r="D276" s="5" t="s">
        <v>1216</v>
      </c>
      <c r="E276" s="4" t="s">
        <v>419</v>
      </c>
      <c r="F276" s="4" t="s">
        <v>490</v>
      </c>
      <c r="G276" s="7">
        <v>43041</v>
      </c>
      <c r="H276" s="6" t="s">
        <v>951</v>
      </c>
      <c r="I276" s="5" t="s">
        <v>1579</v>
      </c>
      <c r="J276" s="5"/>
      <c r="K276" s="7"/>
      <c r="L276" s="6"/>
      <c r="M276" s="5"/>
      <c r="Q276" s="3">
        <f t="shared" si="181"/>
        <v>0</v>
      </c>
      <c r="R276" s="3">
        <f t="shared" si="182"/>
        <v>0</v>
      </c>
      <c r="S276" s="3">
        <f t="shared" si="183"/>
        <v>0</v>
      </c>
      <c r="T276" s="3">
        <f t="shared" si="184"/>
        <v>0</v>
      </c>
      <c r="U276" s="3">
        <f t="shared" si="185"/>
        <v>0</v>
      </c>
      <c r="V276" s="3">
        <f t="shared" si="186"/>
        <v>0</v>
      </c>
      <c r="W276">
        <f t="shared" si="187"/>
        <v>0</v>
      </c>
    </row>
    <row r="277" spans="1:23" ht="90" x14ac:dyDescent="0.15">
      <c r="A277" s="10" t="s">
        <v>1825</v>
      </c>
      <c r="B277" s="9" t="s">
        <v>751</v>
      </c>
      <c r="C277" s="8" t="s">
        <v>1003</v>
      </c>
      <c r="D277" s="5" t="s">
        <v>1216</v>
      </c>
      <c r="E277" s="4" t="s">
        <v>888</v>
      </c>
      <c r="F277" s="4" t="s">
        <v>680</v>
      </c>
      <c r="G277" s="7">
        <v>43041</v>
      </c>
      <c r="H277" s="6" t="s">
        <v>951</v>
      </c>
      <c r="I277" s="5" t="s">
        <v>1579</v>
      </c>
      <c r="J277" s="5"/>
      <c r="K277" s="7"/>
      <c r="L277" s="6"/>
      <c r="M277" s="5"/>
      <c r="Q277" s="3">
        <f t="shared" si="181"/>
        <v>0</v>
      </c>
      <c r="R277" s="3">
        <f t="shared" si="182"/>
        <v>0</v>
      </c>
      <c r="S277" s="3">
        <f t="shared" si="183"/>
        <v>0</v>
      </c>
      <c r="T277" s="3">
        <f t="shared" si="184"/>
        <v>0</v>
      </c>
      <c r="U277" s="3">
        <f t="shared" si="185"/>
        <v>0</v>
      </c>
      <c r="V277" s="3">
        <f t="shared" si="186"/>
        <v>0</v>
      </c>
      <c r="W277">
        <f t="shared" si="187"/>
        <v>0</v>
      </c>
    </row>
    <row r="278" spans="1:23" ht="67.5" x14ac:dyDescent="0.15">
      <c r="A278" s="10" t="s">
        <v>1602</v>
      </c>
      <c r="B278" s="9" t="s">
        <v>1294</v>
      </c>
      <c r="C278" s="8" t="s">
        <v>1003</v>
      </c>
      <c r="D278" s="5" t="s">
        <v>1216</v>
      </c>
      <c r="E278" s="4" t="s">
        <v>710</v>
      </c>
      <c r="F278" s="4" t="s">
        <v>70</v>
      </c>
      <c r="G278" s="7">
        <v>43041</v>
      </c>
      <c r="H278" s="6" t="s">
        <v>951</v>
      </c>
      <c r="I278" s="5" t="s">
        <v>1579</v>
      </c>
      <c r="J278" s="5"/>
      <c r="K278" s="7"/>
      <c r="L278" s="6"/>
      <c r="M278" s="5"/>
      <c r="Q278" s="3">
        <f t="shared" si="181"/>
        <v>0</v>
      </c>
      <c r="R278" s="3">
        <f t="shared" si="182"/>
        <v>0</v>
      </c>
      <c r="S278" s="3">
        <f t="shared" si="183"/>
        <v>0</v>
      </c>
      <c r="T278" s="3">
        <f t="shared" si="184"/>
        <v>0</v>
      </c>
      <c r="U278" s="3">
        <f t="shared" si="185"/>
        <v>0</v>
      </c>
      <c r="V278" s="3">
        <f t="shared" si="186"/>
        <v>0</v>
      </c>
      <c r="W278">
        <f t="shared" si="187"/>
        <v>0</v>
      </c>
    </row>
    <row r="279" spans="1:23" x14ac:dyDescent="0.15">
      <c r="A279" s="16" t="s">
        <v>935</v>
      </c>
      <c r="B279" s="129" t="s">
        <v>1511</v>
      </c>
      <c r="C279" s="130"/>
      <c r="D279" s="15" t="s">
        <v>1011</v>
      </c>
      <c r="E279" s="14" t="s">
        <v>2716</v>
      </c>
      <c r="F279" s="13" t="s">
        <v>2495</v>
      </c>
      <c r="G279" s="131" t="s">
        <v>614</v>
      </c>
      <c r="H279" s="132"/>
      <c r="I279" s="132"/>
      <c r="J279" s="132"/>
      <c r="K279" s="132"/>
      <c r="L279" s="132"/>
      <c r="M279" s="133"/>
    </row>
    <row r="280" spans="1:23" x14ac:dyDescent="0.15">
      <c r="A280" s="134" t="s">
        <v>977</v>
      </c>
      <c r="B280" s="136" t="s">
        <v>920</v>
      </c>
      <c r="C280" s="138" t="s">
        <v>1008</v>
      </c>
      <c r="D280" s="140" t="s">
        <v>1009</v>
      </c>
      <c r="E280" s="142" t="s">
        <v>2118</v>
      </c>
      <c r="F280" s="142" t="s">
        <v>1849</v>
      </c>
      <c r="G280" s="144" t="s">
        <v>994</v>
      </c>
      <c r="H280" s="145"/>
      <c r="I280" s="145"/>
      <c r="J280" s="146"/>
      <c r="K280" s="144" t="s">
        <v>982</v>
      </c>
      <c r="L280" s="145"/>
      <c r="M280" s="147"/>
    </row>
    <row r="281" spans="1:23" x14ac:dyDescent="0.15">
      <c r="A281" s="135"/>
      <c r="B281" s="137"/>
      <c r="C281" s="139"/>
      <c r="D281" s="141"/>
      <c r="E281" s="143"/>
      <c r="F281" s="143"/>
      <c r="G281" s="12" t="s">
        <v>1588</v>
      </c>
      <c r="H281" s="12" t="s">
        <v>1578</v>
      </c>
      <c r="I281" s="12" t="s">
        <v>1562</v>
      </c>
      <c r="J281" s="12" t="s">
        <v>1007</v>
      </c>
      <c r="K281" s="12" t="s">
        <v>1588</v>
      </c>
      <c r="L281" s="12" t="s">
        <v>1578</v>
      </c>
      <c r="M281" s="11" t="s">
        <v>1562</v>
      </c>
    </row>
    <row r="282" spans="1:23" ht="90" x14ac:dyDescent="0.15">
      <c r="A282" s="10" t="s">
        <v>1616</v>
      </c>
      <c r="B282" s="9" t="s">
        <v>2720</v>
      </c>
      <c r="C282" s="8" t="s">
        <v>1003</v>
      </c>
      <c r="D282" s="5" t="s">
        <v>1286</v>
      </c>
      <c r="E282" s="4" t="s">
        <v>26</v>
      </c>
      <c r="F282" s="4" t="s">
        <v>447</v>
      </c>
      <c r="G282" s="7">
        <v>43041</v>
      </c>
      <c r="H282" s="6" t="s">
        <v>951</v>
      </c>
      <c r="I282" s="5" t="s">
        <v>1579</v>
      </c>
      <c r="J282" s="5"/>
      <c r="K282" s="7"/>
      <c r="L282" s="6"/>
      <c r="M282" s="5"/>
      <c r="Q282" s="3">
        <f t="shared" ref="Q282:Q285" si="188">IF($Q$6&gt;=G282,0)</f>
        <v>0</v>
      </c>
      <c r="R282" s="3">
        <f t="shared" ref="R282:R285" si="189">IF($R$6&gt;=G282,0)</f>
        <v>0</v>
      </c>
      <c r="S282" s="3">
        <f t="shared" ref="S282:S285" si="190">IF($S$6&gt;=G282,0)</f>
        <v>0</v>
      </c>
      <c r="T282" s="3">
        <f t="shared" ref="T282:T285" si="191">IF($T$6&gt;=G282,0)</f>
        <v>0</v>
      </c>
      <c r="U282" s="3">
        <f t="shared" ref="U282:U285" si="192">IF($U$6&gt;=G282,0)</f>
        <v>0</v>
      </c>
      <c r="V282" s="3">
        <f t="shared" ref="V282:V285" si="193">IF($V$6&gt;=G282,0)</f>
        <v>0</v>
      </c>
      <c r="W282">
        <f t="shared" ref="W282:W285" si="194">IF($W$6&gt;=G282,0)</f>
        <v>0</v>
      </c>
    </row>
    <row r="283" spans="1:23" ht="45" x14ac:dyDescent="0.15">
      <c r="A283" s="10" t="s">
        <v>1807</v>
      </c>
      <c r="B283" s="9" t="s">
        <v>2721</v>
      </c>
      <c r="C283" s="8" t="s">
        <v>1003</v>
      </c>
      <c r="D283" s="5" t="s">
        <v>1286</v>
      </c>
      <c r="E283" s="4" t="s">
        <v>722</v>
      </c>
      <c r="F283" s="4" t="s">
        <v>395</v>
      </c>
      <c r="G283" s="7">
        <v>43041</v>
      </c>
      <c r="H283" s="6" t="s">
        <v>951</v>
      </c>
      <c r="I283" s="5" t="s">
        <v>1579</v>
      </c>
      <c r="J283" s="5"/>
      <c r="K283" s="7"/>
      <c r="L283" s="6"/>
      <c r="M283" s="5"/>
      <c r="Q283" s="3">
        <f t="shared" si="188"/>
        <v>0</v>
      </c>
      <c r="R283" s="3">
        <f t="shared" si="189"/>
        <v>0</v>
      </c>
      <c r="S283" s="3">
        <f t="shared" si="190"/>
        <v>0</v>
      </c>
      <c r="T283" s="3">
        <f t="shared" si="191"/>
        <v>0</v>
      </c>
      <c r="U283" s="3">
        <f t="shared" si="192"/>
        <v>0</v>
      </c>
      <c r="V283" s="3">
        <f t="shared" si="193"/>
        <v>0</v>
      </c>
      <c r="W283">
        <f t="shared" si="194"/>
        <v>0</v>
      </c>
    </row>
    <row r="284" spans="1:23" ht="90" x14ac:dyDescent="0.15">
      <c r="A284" s="10" t="s">
        <v>1661</v>
      </c>
      <c r="B284" s="9" t="s">
        <v>2723</v>
      </c>
      <c r="C284" s="8" t="s">
        <v>1003</v>
      </c>
      <c r="D284" s="5" t="s">
        <v>1286</v>
      </c>
      <c r="E284" s="4" t="s">
        <v>26</v>
      </c>
      <c r="F284" s="4" t="s">
        <v>681</v>
      </c>
      <c r="G284" s="7">
        <v>43041</v>
      </c>
      <c r="H284" s="6" t="s">
        <v>951</v>
      </c>
      <c r="I284" s="5" t="s">
        <v>1579</v>
      </c>
      <c r="J284" s="5"/>
      <c r="K284" s="7"/>
      <c r="L284" s="6"/>
      <c r="M284" s="5"/>
      <c r="Q284" s="3">
        <f t="shared" si="188"/>
        <v>0</v>
      </c>
      <c r="R284" s="3">
        <f t="shared" si="189"/>
        <v>0</v>
      </c>
      <c r="S284" s="3">
        <f t="shared" si="190"/>
        <v>0</v>
      </c>
      <c r="T284" s="3">
        <f t="shared" si="191"/>
        <v>0</v>
      </c>
      <c r="U284" s="3">
        <f t="shared" si="192"/>
        <v>0</v>
      </c>
      <c r="V284" s="3">
        <f t="shared" si="193"/>
        <v>0</v>
      </c>
      <c r="W284">
        <f t="shared" si="194"/>
        <v>0</v>
      </c>
    </row>
    <row r="285" spans="1:23" ht="67.5" x14ac:dyDescent="0.15">
      <c r="A285" s="10" t="s">
        <v>1614</v>
      </c>
      <c r="B285" s="9" t="s">
        <v>2722</v>
      </c>
      <c r="C285" s="8" t="s">
        <v>1003</v>
      </c>
      <c r="D285" s="5" t="s">
        <v>1286</v>
      </c>
      <c r="E285" s="4" t="s">
        <v>1388</v>
      </c>
      <c r="F285" s="4" t="s">
        <v>71</v>
      </c>
      <c r="G285" s="7">
        <v>43041</v>
      </c>
      <c r="H285" s="6" t="s">
        <v>951</v>
      </c>
      <c r="I285" s="5" t="s">
        <v>1579</v>
      </c>
      <c r="J285" s="5"/>
      <c r="K285" s="7"/>
      <c r="L285" s="6"/>
      <c r="M285" s="5"/>
      <c r="Q285" s="3">
        <f t="shared" si="188"/>
        <v>0</v>
      </c>
      <c r="R285" s="3">
        <f t="shared" si="189"/>
        <v>0</v>
      </c>
      <c r="S285" s="3">
        <f t="shared" si="190"/>
        <v>0</v>
      </c>
      <c r="T285" s="3">
        <f t="shared" si="191"/>
        <v>0</v>
      </c>
      <c r="U285" s="3">
        <f t="shared" si="192"/>
        <v>0</v>
      </c>
      <c r="V285" s="3">
        <f t="shared" si="193"/>
        <v>0</v>
      </c>
      <c r="W285">
        <f t="shared" si="194"/>
        <v>0</v>
      </c>
    </row>
    <row r="286" spans="1:23" ht="14.25" customHeight="1" x14ac:dyDescent="0.15">
      <c r="A286" s="16" t="s">
        <v>935</v>
      </c>
      <c r="B286" s="129" t="s">
        <v>1551</v>
      </c>
      <c r="C286" s="130"/>
      <c r="D286" s="15" t="s">
        <v>1011</v>
      </c>
      <c r="E286" s="14" t="s">
        <v>2652</v>
      </c>
      <c r="F286" s="13" t="s">
        <v>2495</v>
      </c>
      <c r="G286" s="131" t="s">
        <v>51</v>
      </c>
      <c r="H286" s="132"/>
      <c r="I286" s="132"/>
      <c r="J286" s="132"/>
      <c r="K286" s="132"/>
      <c r="L286" s="132"/>
      <c r="M286" s="133"/>
    </row>
    <row r="287" spans="1:23" x14ac:dyDescent="0.15">
      <c r="A287" s="134" t="s">
        <v>977</v>
      </c>
      <c r="B287" s="136" t="s">
        <v>920</v>
      </c>
      <c r="C287" s="138" t="s">
        <v>1008</v>
      </c>
      <c r="D287" s="140" t="s">
        <v>1009</v>
      </c>
      <c r="E287" s="142" t="s">
        <v>2118</v>
      </c>
      <c r="F287" s="142" t="s">
        <v>1849</v>
      </c>
      <c r="G287" s="144" t="s">
        <v>994</v>
      </c>
      <c r="H287" s="145"/>
      <c r="I287" s="145"/>
      <c r="J287" s="146"/>
      <c r="K287" s="144" t="s">
        <v>982</v>
      </c>
      <c r="L287" s="145"/>
      <c r="M287" s="147"/>
    </row>
    <row r="288" spans="1:23" x14ac:dyDescent="0.15">
      <c r="A288" s="135"/>
      <c r="B288" s="137"/>
      <c r="C288" s="139"/>
      <c r="D288" s="141"/>
      <c r="E288" s="143"/>
      <c r="F288" s="143"/>
      <c r="G288" s="12" t="s">
        <v>1588</v>
      </c>
      <c r="H288" s="12" t="s">
        <v>1578</v>
      </c>
      <c r="I288" s="12" t="s">
        <v>1562</v>
      </c>
      <c r="J288" s="12" t="s">
        <v>1007</v>
      </c>
      <c r="K288" s="12" t="s">
        <v>1588</v>
      </c>
      <c r="L288" s="12" t="s">
        <v>1578</v>
      </c>
      <c r="M288" s="11" t="s">
        <v>1562</v>
      </c>
    </row>
    <row r="289" spans="1:23" ht="90" x14ac:dyDescent="0.15">
      <c r="A289" s="10" t="s">
        <v>1834</v>
      </c>
      <c r="B289" s="9" t="s">
        <v>2724</v>
      </c>
      <c r="C289" s="8" t="s">
        <v>1003</v>
      </c>
      <c r="D289" s="5" t="s">
        <v>1286</v>
      </c>
      <c r="E289" s="4" t="s">
        <v>25</v>
      </c>
      <c r="F289" s="4" t="s">
        <v>447</v>
      </c>
      <c r="G289" s="7">
        <v>43041</v>
      </c>
      <c r="H289" s="6" t="s">
        <v>951</v>
      </c>
      <c r="I289" s="5" t="s">
        <v>1579</v>
      </c>
      <c r="J289" s="5"/>
      <c r="K289" s="7"/>
      <c r="L289" s="6"/>
      <c r="M289" s="5"/>
      <c r="Q289" s="3">
        <f t="shared" ref="Q289:Q292" si="195">IF($Q$6&gt;=G289,0)</f>
        <v>0</v>
      </c>
      <c r="R289" s="3">
        <f t="shared" ref="R289:R292" si="196">IF($R$6&gt;=G289,0)</f>
        <v>0</v>
      </c>
      <c r="S289" s="3">
        <f t="shared" ref="S289:S292" si="197">IF($S$6&gt;=G289,0)</f>
        <v>0</v>
      </c>
      <c r="T289" s="3">
        <f t="shared" ref="T289:T292" si="198">IF($T$6&gt;=G289,0)</f>
        <v>0</v>
      </c>
      <c r="U289" s="3">
        <f t="shared" ref="U289:U292" si="199">IF($U$6&gt;=G289,0)</f>
        <v>0</v>
      </c>
      <c r="V289" s="3">
        <f t="shared" ref="V289:V292" si="200">IF($V$6&gt;=G289,0)</f>
        <v>0</v>
      </c>
      <c r="W289">
        <f t="shared" ref="W289:W292" si="201">IF($W$6&gt;=G289,0)</f>
        <v>0</v>
      </c>
    </row>
    <row r="290" spans="1:23" ht="45" x14ac:dyDescent="0.15">
      <c r="A290" s="10" t="s">
        <v>1784</v>
      </c>
      <c r="B290" s="9" t="s">
        <v>2725</v>
      </c>
      <c r="C290" s="8" t="s">
        <v>1003</v>
      </c>
      <c r="D290" s="5" t="s">
        <v>1286</v>
      </c>
      <c r="E290" s="4" t="s">
        <v>722</v>
      </c>
      <c r="F290" s="4" t="s">
        <v>395</v>
      </c>
      <c r="G290" s="7">
        <v>43041</v>
      </c>
      <c r="H290" s="6" t="s">
        <v>951</v>
      </c>
      <c r="I290" s="5" t="s">
        <v>1579</v>
      </c>
      <c r="J290" s="5"/>
      <c r="K290" s="7"/>
      <c r="L290" s="6"/>
      <c r="M290" s="5"/>
      <c r="Q290" s="3">
        <f t="shared" si="195"/>
        <v>0</v>
      </c>
      <c r="R290" s="3">
        <f t="shared" si="196"/>
        <v>0</v>
      </c>
      <c r="S290" s="3">
        <f t="shared" si="197"/>
        <v>0</v>
      </c>
      <c r="T290" s="3">
        <f t="shared" si="198"/>
        <v>0</v>
      </c>
      <c r="U290" s="3">
        <f t="shared" si="199"/>
        <v>0</v>
      </c>
      <c r="V290" s="3">
        <f t="shared" si="200"/>
        <v>0</v>
      </c>
      <c r="W290">
        <f t="shared" si="201"/>
        <v>0</v>
      </c>
    </row>
    <row r="291" spans="1:23" ht="90" x14ac:dyDescent="0.15">
      <c r="A291" s="10" t="s">
        <v>1782</v>
      </c>
      <c r="B291" s="9" t="s">
        <v>2727</v>
      </c>
      <c r="C291" s="8" t="s">
        <v>1003</v>
      </c>
      <c r="D291" s="5" t="s">
        <v>1286</v>
      </c>
      <c r="E291" s="4" t="s">
        <v>25</v>
      </c>
      <c r="F291" s="4" t="s">
        <v>681</v>
      </c>
      <c r="G291" s="7">
        <v>43041</v>
      </c>
      <c r="H291" s="6" t="s">
        <v>951</v>
      </c>
      <c r="I291" s="5" t="s">
        <v>1579</v>
      </c>
      <c r="J291" s="5"/>
      <c r="K291" s="7"/>
      <c r="L291" s="6"/>
      <c r="M291" s="5"/>
      <c r="Q291" s="3">
        <f t="shared" si="195"/>
        <v>0</v>
      </c>
      <c r="R291" s="3">
        <f t="shared" si="196"/>
        <v>0</v>
      </c>
      <c r="S291" s="3">
        <f t="shared" si="197"/>
        <v>0</v>
      </c>
      <c r="T291" s="3">
        <f t="shared" si="198"/>
        <v>0</v>
      </c>
      <c r="U291" s="3">
        <f t="shared" si="199"/>
        <v>0</v>
      </c>
      <c r="V291" s="3">
        <f t="shared" si="200"/>
        <v>0</v>
      </c>
      <c r="W291">
        <f t="shared" si="201"/>
        <v>0</v>
      </c>
    </row>
    <row r="292" spans="1:23" ht="67.5" x14ac:dyDescent="0.15">
      <c r="A292" s="10" t="s">
        <v>2036</v>
      </c>
      <c r="B292" s="9" t="s">
        <v>2726</v>
      </c>
      <c r="C292" s="8" t="s">
        <v>1003</v>
      </c>
      <c r="D292" s="5" t="s">
        <v>1286</v>
      </c>
      <c r="E292" s="4" t="s">
        <v>1375</v>
      </c>
      <c r="F292" s="4" t="s">
        <v>71</v>
      </c>
      <c r="G292" s="7">
        <v>43041</v>
      </c>
      <c r="H292" s="6" t="s">
        <v>951</v>
      </c>
      <c r="I292" s="5" t="s">
        <v>1579</v>
      </c>
      <c r="J292" s="5"/>
      <c r="K292" s="7"/>
      <c r="L292" s="6"/>
      <c r="M292" s="5"/>
      <c r="Q292" s="3">
        <f t="shared" si="195"/>
        <v>0</v>
      </c>
      <c r="R292" s="3">
        <f t="shared" si="196"/>
        <v>0</v>
      </c>
      <c r="S292" s="3">
        <f t="shared" si="197"/>
        <v>0</v>
      </c>
      <c r="T292" s="3">
        <f t="shared" si="198"/>
        <v>0</v>
      </c>
      <c r="U292" s="3">
        <f t="shared" si="199"/>
        <v>0</v>
      </c>
      <c r="V292" s="3">
        <f t="shared" si="200"/>
        <v>0</v>
      </c>
      <c r="W292">
        <f t="shared" si="201"/>
        <v>0</v>
      </c>
    </row>
    <row r="293" spans="1:23" x14ac:dyDescent="0.15">
      <c r="A293" s="16" t="s">
        <v>935</v>
      </c>
      <c r="B293" s="129" t="s">
        <v>1498</v>
      </c>
      <c r="C293" s="130"/>
      <c r="D293" s="15" t="s">
        <v>1011</v>
      </c>
      <c r="E293" s="14" t="s">
        <v>1230</v>
      </c>
      <c r="F293" s="13" t="s">
        <v>2495</v>
      </c>
      <c r="G293" s="131" t="s">
        <v>1502</v>
      </c>
      <c r="H293" s="132"/>
      <c r="I293" s="132"/>
      <c r="J293" s="132"/>
      <c r="K293" s="132"/>
      <c r="L293" s="132"/>
      <c r="M293" s="133"/>
    </row>
    <row r="294" spans="1:23" x14ac:dyDescent="0.15">
      <c r="A294" s="134" t="s">
        <v>977</v>
      </c>
      <c r="B294" s="136" t="s">
        <v>920</v>
      </c>
      <c r="C294" s="138" t="s">
        <v>1008</v>
      </c>
      <c r="D294" s="140" t="s">
        <v>1009</v>
      </c>
      <c r="E294" s="142" t="s">
        <v>2118</v>
      </c>
      <c r="F294" s="142" t="s">
        <v>1849</v>
      </c>
      <c r="G294" s="144" t="s">
        <v>994</v>
      </c>
      <c r="H294" s="145"/>
      <c r="I294" s="145"/>
      <c r="J294" s="146"/>
      <c r="K294" s="144" t="s">
        <v>982</v>
      </c>
      <c r="L294" s="145"/>
      <c r="M294" s="147"/>
    </row>
    <row r="295" spans="1:23" x14ac:dyDescent="0.15">
      <c r="A295" s="135"/>
      <c r="B295" s="137"/>
      <c r="C295" s="139"/>
      <c r="D295" s="141"/>
      <c r="E295" s="143"/>
      <c r="F295" s="143"/>
      <c r="G295" s="12" t="s">
        <v>1588</v>
      </c>
      <c r="H295" s="12" t="s">
        <v>1578</v>
      </c>
      <c r="I295" s="12" t="s">
        <v>1562</v>
      </c>
      <c r="J295" s="12" t="s">
        <v>1007</v>
      </c>
      <c r="K295" s="12" t="s">
        <v>1588</v>
      </c>
      <c r="L295" s="12" t="s">
        <v>1578</v>
      </c>
      <c r="M295" s="11" t="s">
        <v>1562</v>
      </c>
    </row>
    <row r="296" spans="1:23" ht="25.5" x14ac:dyDescent="0.15">
      <c r="A296" s="10" t="s">
        <v>2402</v>
      </c>
      <c r="B296" s="9" t="s">
        <v>1230</v>
      </c>
      <c r="C296" s="8" t="s">
        <v>1447</v>
      </c>
      <c r="D296" s="5"/>
      <c r="E296" s="4"/>
      <c r="F296" s="4"/>
      <c r="G296" s="25">
        <v>43112</v>
      </c>
      <c r="H296" s="6"/>
      <c r="I296" s="5" t="s">
        <v>1580</v>
      </c>
      <c r="J296" s="5"/>
      <c r="K296" s="7"/>
      <c r="L296" s="6"/>
      <c r="M296" s="5"/>
      <c r="N296" s="2" t="s">
        <v>1586</v>
      </c>
      <c r="Q296" s="3" t="b">
        <f>IF($Q$6&gt;=G296,0)</f>
        <v>0</v>
      </c>
      <c r="R296" s="3" t="b">
        <f>IF($R$6&gt;=G296,0)</f>
        <v>0</v>
      </c>
      <c r="T296" s="3" t="b">
        <f>IF($T$6&gt;=G296,0)</f>
        <v>0</v>
      </c>
      <c r="U296" s="3" t="b">
        <f>IF($U$6&gt;=G296,0)</f>
        <v>0</v>
      </c>
      <c r="V296" s="3">
        <f>IF($V$6&gt;=G296,0)</f>
        <v>0</v>
      </c>
      <c r="W296">
        <f>IF($W$6&gt;=G296,0)</f>
        <v>0</v>
      </c>
    </row>
    <row r="297" spans="1:23" x14ac:dyDescent="0.15">
      <c r="A297" s="16" t="s">
        <v>935</v>
      </c>
      <c r="B297" s="129" t="s">
        <v>135</v>
      </c>
      <c r="C297" s="130"/>
      <c r="D297" s="15" t="s">
        <v>1011</v>
      </c>
      <c r="E297" s="14" t="s">
        <v>1105</v>
      </c>
      <c r="F297" s="13" t="s">
        <v>2495</v>
      </c>
      <c r="G297" s="131" t="s">
        <v>44</v>
      </c>
      <c r="H297" s="132"/>
      <c r="I297" s="132"/>
      <c r="J297" s="132"/>
      <c r="K297" s="132"/>
      <c r="L297" s="132"/>
      <c r="M297" s="133"/>
    </row>
    <row r="298" spans="1:23" x14ac:dyDescent="0.15">
      <c r="A298" s="134" t="s">
        <v>977</v>
      </c>
      <c r="B298" s="136" t="s">
        <v>920</v>
      </c>
      <c r="C298" s="138" t="s">
        <v>1008</v>
      </c>
      <c r="D298" s="140" t="s">
        <v>1009</v>
      </c>
      <c r="E298" s="142" t="s">
        <v>2118</v>
      </c>
      <c r="F298" s="142" t="s">
        <v>1849</v>
      </c>
      <c r="G298" s="144" t="s">
        <v>994</v>
      </c>
      <c r="H298" s="145"/>
      <c r="I298" s="145"/>
      <c r="J298" s="146"/>
      <c r="K298" s="144" t="s">
        <v>982</v>
      </c>
      <c r="L298" s="145"/>
      <c r="M298" s="147"/>
    </row>
    <row r="299" spans="1:23" x14ac:dyDescent="0.15">
      <c r="A299" s="135"/>
      <c r="B299" s="137"/>
      <c r="C299" s="139"/>
      <c r="D299" s="141"/>
      <c r="E299" s="143"/>
      <c r="F299" s="143"/>
      <c r="G299" s="12" t="s">
        <v>1588</v>
      </c>
      <c r="H299" s="12" t="s">
        <v>1578</v>
      </c>
      <c r="I299" s="12" t="s">
        <v>1562</v>
      </c>
      <c r="J299" s="12" t="s">
        <v>1007</v>
      </c>
      <c r="K299" s="12" t="s">
        <v>1588</v>
      </c>
      <c r="L299" s="12" t="s">
        <v>1578</v>
      </c>
      <c r="M299" s="11" t="s">
        <v>1562</v>
      </c>
    </row>
    <row r="300" spans="1:23" ht="25.5" x14ac:dyDescent="0.15">
      <c r="A300" s="10" t="s">
        <v>1822</v>
      </c>
      <c r="B300" s="9" t="s">
        <v>1105</v>
      </c>
      <c r="C300" s="8" t="s">
        <v>1447</v>
      </c>
      <c r="D300" s="5"/>
      <c r="E300" s="4"/>
      <c r="F300" s="4"/>
      <c r="G300" s="25">
        <v>43112</v>
      </c>
      <c r="H300" s="6"/>
      <c r="I300" s="5" t="s">
        <v>1580</v>
      </c>
      <c r="J300" s="5"/>
      <c r="K300" s="7"/>
      <c r="L300" s="6"/>
      <c r="M300" s="5"/>
      <c r="N300" s="2" t="s">
        <v>1586</v>
      </c>
      <c r="Q300" s="3" t="b">
        <f>IF($Q$6&gt;=G300,0)</f>
        <v>0</v>
      </c>
      <c r="R300" s="3" t="b">
        <f>IF($R$6&gt;=G300,0)</f>
        <v>0</v>
      </c>
      <c r="T300" s="3" t="b">
        <f>IF($T$6&gt;=G300,0)</f>
        <v>0</v>
      </c>
      <c r="U300" s="3" t="b">
        <f>IF($U$6&gt;=G300,0)</f>
        <v>0</v>
      </c>
      <c r="V300" s="3">
        <f>IF($V$6&gt;=G300,0)</f>
        <v>0</v>
      </c>
      <c r="W300">
        <f>IF($W$6&gt;=G300,0)</f>
        <v>0</v>
      </c>
    </row>
    <row r="301" spans="1:23" x14ac:dyDescent="0.15">
      <c r="A301" s="16" t="s">
        <v>935</v>
      </c>
      <c r="B301" s="129" t="s">
        <v>1477</v>
      </c>
      <c r="C301" s="130"/>
      <c r="D301" s="15" t="s">
        <v>1011</v>
      </c>
      <c r="E301" s="14" t="s">
        <v>1105</v>
      </c>
      <c r="F301" s="13" t="s">
        <v>2495</v>
      </c>
      <c r="G301" s="131" t="s">
        <v>1414</v>
      </c>
      <c r="H301" s="132"/>
      <c r="I301" s="132"/>
      <c r="J301" s="132"/>
      <c r="K301" s="132"/>
      <c r="L301" s="132"/>
      <c r="M301" s="133"/>
    </row>
    <row r="302" spans="1:23" x14ac:dyDescent="0.15">
      <c r="A302" s="134" t="s">
        <v>977</v>
      </c>
      <c r="B302" s="136" t="s">
        <v>920</v>
      </c>
      <c r="C302" s="138" t="s">
        <v>1008</v>
      </c>
      <c r="D302" s="140" t="s">
        <v>1009</v>
      </c>
      <c r="E302" s="142" t="s">
        <v>2118</v>
      </c>
      <c r="F302" s="142" t="s">
        <v>1849</v>
      </c>
      <c r="G302" s="144" t="s">
        <v>994</v>
      </c>
      <c r="H302" s="145"/>
      <c r="I302" s="145"/>
      <c r="J302" s="146"/>
      <c r="K302" s="144" t="s">
        <v>982</v>
      </c>
      <c r="L302" s="145"/>
      <c r="M302" s="147"/>
    </row>
    <row r="303" spans="1:23" x14ac:dyDescent="0.15">
      <c r="A303" s="135"/>
      <c r="B303" s="137"/>
      <c r="C303" s="139"/>
      <c r="D303" s="141"/>
      <c r="E303" s="143"/>
      <c r="F303" s="143"/>
      <c r="G303" s="12" t="s">
        <v>1588</v>
      </c>
      <c r="H303" s="12" t="s">
        <v>1578</v>
      </c>
      <c r="I303" s="12" t="s">
        <v>1562</v>
      </c>
      <c r="J303" s="12" t="s">
        <v>1007</v>
      </c>
      <c r="K303" s="12" t="s">
        <v>1588</v>
      </c>
      <c r="L303" s="12" t="s">
        <v>1578</v>
      </c>
      <c r="M303" s="11" t="s">
        <v>1562</v>
      </c>
    </row>
    <row r="304" spans="1:23" x14ac:dyDescent="0.15">
      <c r="A304" s="10" t="s">
        <v>2570</v>
      </c>
      <c r="B304" s="9" t="s">
        <v>305</v>
      </c>
      <c r="C304" s="8" t="s">
        <v>1003</v>
      </c>
      <c r="D304" s="5"/>
      <c r="E304" s="4"/>
      <c r="F304" s="4"/>
      <c r="G304" s="25">
        <v>43112</v>
      </c>
      <c r="H304" s="6"/>
      <c r="I304" s="5" t="s">
        <v>1580</v>
      </c>
      <c r="J304" s="5"/>
      <c r="K304" s="7"/>
      <c r="L304" s="6"/>
      <c r="M304" s="5"/>
      <c r="N304" s="2" t="s">
        <v>1586</v>
      </c>
      <c r="Q304" s="3" t="b">
        <f>IF($Q$6&gt;=G304,0)</f>
        <v>0</v>
      </c>
      <c r="R304" s="3" t="b">
        <f>IF($R$6&gt;=G304,0)</f>
        <v>0</v>
      </c>
      <c r="T304" s="3" t="b">
        <f>IF($T$6&gt;=G304,0)</f>
        <v>0</v>
      </c>
      <c r="U304" s="3" t="b">
        <f>IF($U$6&gt;=G304,0)</f>
        <v>0</v>
      </c>
      <c r="V304" s="3">
        <f>IF($V$6&gt;=G304,0)</f>
        <v>0</v>
      </c>
      <c r="W304">
        <f>IF($W$6&gt;=G304,0)</f>
        <v>0</v>
      </c>
    </row>
    <row r="305" spans="1:23" x14ac:dyDescent="0.15">
      <c r="A305" s="16" t="s">
        <v>935</v>
      </c>
      <c r="B305" s="129" t="s">
        <v>859</v>
      </c>
      <c r="C305" s="130"/>
      <c r="D305" s="15" t="s">
        <v>1011</v>
      </c>
      <c r="E305" s="9" t="s">
        <v>236</v>
      </c>
      <c r="F305" s="13" t="s">
        <v>2495</v>
      </c>
      <c r="G305" s="131" t="s">
        <v>851</v>
      </c>
      <c r="H305" s="132"/>
      <c r="I305" s="132"/>
      <c r="J305" s="132"/>
      <c r="K305" s="132"/>
      <c r="L305" s="132"/>
      <c r="M305" s="133"/>
    </row>
    <row r="306" spans="1:23" x14ac:dyDescent="0.15">
      <c r="A306" s="134" t="s">
        <v>977</v>
      </c>
      <c r="B306" s="136" t="s">
        <v>920</v>
      </c>
      <c r="C306" s="138" t="s">
        <v>1008</v>
      </c>
      <c r="D306" s="140" t="s">
        <v>1009</v>
      </c>
      <c r="E306" s="142" t="s">
        <v>2118</v>
      </c>
      <c r="F306" s="142" t="s">
        <v>1849</v>
      </c>
      <c r="G306" s="144" t="s">
        <v>994</v>
      </c>
      <c r="H306" s="145"/>
      <c r="I306" s="145"/>
      <c r="J306" s="146"/>
      <c r="K306" s="144" t="s">
        <v>982</v>
      </c>
      <c r="L306" s="145"/>
      <c r="M306" s="147"/>
    </row>
    <row r="307" spans="1:23" x14ac:dyDescent="0.15">
      <c r="A307" s="135"/>
      <c r="B307" s="137"/>
      <c r="C307" s="139"/>
      <c r="D307" s="141"/>
      <c r="E307" s="143"/>
      <c r="F307" s="143"/>
      <c r="G307" s="12" t="s">
        <v>1588</v>
      </c>
      <c r="H307" s="12" t="s">
        <v>1578</v>
      </c>
      <c r="I307" s="12" t="s">
        <v>1562</v>
      </c>
      <c r="J307" s="12" t="s">
        <v>1007</v>
      </c>
      <c r="K307" s="12" t="s">
        <v>1588</v>
      </c>
      <c r="L307" s="12" t="s">
        <v>1578</v>
      </c>
      <c r="M307" s="11" t="s">
        <v>1562</v>
      </c>
    </row>
    <row r="308" spans="1:23" x14ac:dyDescent="0.15">
      <c r="A308" s="10" t="s">
        <v>2062</v>
      </c>
      <c r="B308" s="9" t="s">
        <v>236</v>
      </c>
      <c r="C308" s="8" t="s">
        <v>1003</v>
      </c>
      <c r="D308" s="5"/>
      <c r="E308" s="4"/>
      <c r="F308" s="4"/>
      <c r="G308" s="25">
        <v>43119</v>
      </c>
      <c r="H308" s="6"/>
      <c r="I308" s="5" t="s">
        <v>1580</v>
      </c>
      <c r="J308" s="5"/>
      <c r="K308" s="7"/>
      <c r="L308" s="6"/>
      <c r="M308" s="5"/>
      <c r="N308" s="2" t="s">
        <v>1586</v>
      </c>
      <c r="Q308" s="3" t="b">
        <f>IF($Q$6&gt;=G308,0)</f>
        <v>0</v>
      </c>
      <c r="R308" s="3" t="b">
        <f>IF($R$6&gt;=G308,0)</f>
        <v>0</v>
      </c>
      <c r="T308" s="3" t="b">
        <f>IF($T$6&gt;=G308,0)</f>
        <v>0</v>
      </c>
      <c r="U308" s="3" t="b">
        <f>IF($U$6&gt;=G308,0)</f>
        <v>0</v>
      </c>
      <c r="V308" s="3">
        <f>IF($V$6&gt;=G308,0)</f>
        <v>0</v>
      </c>
      <c r="W308">
        <f>IF($W$6&gt;=G308,0)</f>
        <v>0</v>
      </c>
    </row>
    <row r="309" spans="1:23" x14ac:dyDescent="0.15">
      <c r="A309" s="16" t="s">
        <v>935</v>
      </c>
      <c r="B309" s="129" t="s">
        <v>1453</v>
      </c>
      <c r="C309" s="130"/>
      <c r="D309" s="15" t="s">
        <v>1011</v>
      </c>
      <c r="E309" s="14" t="s">
        <v>728</v>
      </c>
      <c r="F309" s="13" t="s">
        <v>2495</v>
      </c>
      <c r="G309" s="131" t="s">
        <v>38</v>
      </c>
      <c r="H309" s="132"/>
      <c r="I309" s="132"/>
      <c r="J309" s="132"/>
      <c r="K309" s="132"/>
      <c r="L309" s="132"/>
      <c r="M309" s="133"/>
    </row>
    <row r="310" spans="1:23" x14ac:dyDescent="0.15">
      <c r="A310" s="134" t="s">
        <v>977</v>
      </c>
      <c r="B310" s="136" t="s">
        <v>920</v>
      </c>
      <c r="C310" s="138" t="s">
        <v>1008</v>
      </c>
      <c r="D310" s="140" t="s">
        <v>1009</v>
      </c>
      <c r="E310" s="142" t="s">
        <v>2118</v>
      </c>
      <c r="F310" s="142" t="s">
        <v>1849</v>
      </c>
      <c r="G310" s="144" t="s">
        <v>994</v>
      </c>
      <c r="H310" s="145"/>
      <c r="I310" s="145"/>
      <c r="J310" s="146"/>
      <c r="K310" s="144" t="s">
        <v>982</v>
      </c>
      <c r="L310" s="145"/>
      <c r="M310" s="147"/>
    </row>
    <row r="311" spans="1:23" x14ac:dyDescent="0.15">
      <c r="A311" s="135"/>
      <c r="B311" s="137"/>
      <c r="C311" s="139"/>
      <c r="D311" s="141"/>
      <c r="E311" s="143"/>
      <c r="F311" s="143"/>
      <c r="G311" s="12" t="s">
        <v>1588</v>
      </c>
      <c r="H311" s="12" t="s">
        <v>1578</v>
      </c>
      <c r="I311" s="12" t="s">
        <v>1562</v>
      </c>
      <c r="J311" s="12" t="s">
        <v>1007</v>
      </c>
      <c r="K311" s="12" t="s">
        <v>1588</v>
      </c>
      <c r="L311" s="12" t="s">
        <v>1578</v>
      </c>
      <c r="M311" s="11" t="s">
        <v>1562</v>
      </c>
    </row>
    <row r="312" spans="1:23" ht="90" x14ac:dyDescent="0.15">
      <c r="A312" s="30" t="s">
        <v>2559</v>
      </c>
      <c r="B312" s="29" t="s">
        <v>1222</v>
      </c>
      <c r="C312" s="28" t="s">
        <v>1003</v>
      </c>
      <c r="D312" s="27" t="s">
        <v>2680</v>
      </c>
      <c r="E312" s="26" t="s">
        <v>20</v>
      </c>
      <c r="F312" s="26" t="s">
        <v>19</v>
      </c>
      <c r="G312" s="25">
        <v>43091</v>
      </c>
      <c r="H312" s="6" t="s">
        <v>951</v>
      </c>
      <c r="I312" s="5" t="s">
        <v>1596</v>
      </c>
      <c r="J312" s="5"/>
      <c r="K312" s="7"/>
      <c r="L312" s="6"/>
      <c r="M312" s="5"/>
      <c r="Q312" s="3" t="b">
        <f t="shared" ref="Q312:Q315" si="202">IF($Q$6&gt;=G312,0)</f>
        <v>0</v>
      </c>
      <c r="R312" s="3">
        <f t="shared" ref="R312:R315" si="203">IF($R$6&gt;=G312,0)</f>
        <v>0</v>
      </c>
      <c r="S312" s="3">
        <f t="shared" ref="S312:S315" si="204">IF($S$6&gt;=G312,0)</f>
        <v>0</v>
      </c>
      <c r="T312" s="3">
        <f t="shared" ref="T312:T315" si="205">IF($T$6&gt;=G312,0)</f>
        <v>0</v>
      </c>
      <c r="U312" s="3">
        <f t="shared" ref="U312:U315" si="206">IF($U$6&gt;=G312,0)</f>
        <v>0</v>
      </c>
      <c r="V312" s="3">
        <f t="shared" ref="V312:V315" si="207">IF($V$6&gt;=G312,0)</f>
        <v>0</v>
      </c>
      <c r="W312">
        <f t="shared" ref="W312:W315" si="208">IF($W$6&gt;=G312,0)</f>
        <v>0</v>
      </c>
    </row>
    <row r="313" spans="1:23" ht="67.5" x14ac:dyDescent="0.15">
      <c r="A313" s="30" t="s">
        <v>1994</v>
      </c>
      <c r="B313" s="29" t="s">
        <v>1288</v>
      </c>
      <c r="C313" s="28" t="s">
        <v>1003</v>
      </c>
      <c r="D313" s="27" t="s">
        <v>2680</v>
      </c>
      <c r="E313" s="26" t="s">
        <v>12</v>
      </c>
      <c r="F313" s="26" t="s">
        <v>462</v>
      </c>
      <c r="G313" s="25">
        <v>43091</v>
      </c>
      <c r="H313" s="6" t="s">
        <v>951</v>
      </c>
      <c r="I313" s="5" t="s">
        <v>1596</v>
      </c>
      <c r="J313" s="5"/>
      <c r="K313" s="7"/>
      <c r="L313" s="6"/>
      <c r="M313" s="5"/>
      <c r="Q313" s="3" t="b">
        <f t="shared" si="202"/>
        <v>0</v>
      </c>
      <c r="R313" s="3">
        <f t="shared" si="203"/>
        <v>0</v>
      </c>
      <c r="S313" s="3">
        <f t="shared" si="204"/>
        <v>0</v>
      </c>
      <c r="T313" s="3">
        <f t="shared" si="205"/>
        <v>0</v>
      </c>
      <c r="U313" s="3">
        <f t="shared" si="206"/>
        <v>0</v>
      </c>
      <c r="V313" s="3">
        <f t="shared" si="207"/>
        <v>0</v>
      </c>
      <c r="W313">
        <f t="shared" si="208"/>
        <v>0</v>
      </c>
    </row>
    <row r="314" spans="1:23" ht="90" x14ac:dyDescent="0.15">
      <c r="A314" s="30" t="s">
        <v>1984</v>
      </c>
      <c r="B314" s="29" t="s">
        <v>732</v>
      </c>
      <c r="C314" s="28" t="s">
        <v>1003</v>
      </c>
      <c r="D314" s="27" t="s">
        <v>2680</v>
      </c>
      <c r="E314" s="26" t="s">
        <v>887</v>
      </c>
      <c r="F314" s="26" t="s">
        <v>21</v>
      </c>
      <c r="G314" s="25">
        <v>43091</v>
      </c>
      <c r="H314" s="6" t="s">
        <v>951</v>
      </c>
      <c r="I314" s="5" t="s">
        <v>1596</v>
      </c>
      <c r="J314" s="5"/>
      <c r="K314" s="7"/>
      <c r="L314" s="6"/>
      <c r="M314" s="5"/>
      <c r="Q314" s="3" t="b">
        <f t="shared" si="202"/>
        <v>0</v>
      </c>
      <c r="R314" s="3">
        <f t="shared" si="203"/>
        <v>0</v>
      </c>
      <c r="S314" s="3">
        <f t="shared" si="204"/>
        <v>0</v>
      </c>
      <c r="T314" s="3">
        <f t="shared" si="205"/>
        <v>0</v>
      </c>
      <c r="U314" s="3">
        <f t="shared" si="206"/>
        <v>0</v>
      </c>
      <c r="V314" s="3">
        <f t="shared" si="207"/>
        <v>0</v>
      </c>
      <c r="W314">
        <f t="shared" si="208"/>
        <v>0</v>
      </c>
    </row>
    <row r="315" spans="1:23" ht="33.75" x14ac:dyDescent="0.15">
      <c r="A315" s="30" t="s">
        <v>1783</v>
      </c>
      <c r="B315" s="29" t="s">
        <v>1322</v>
      </c>
      <c r="C315" s="28" t="s">
        <v>1003</v>
      </c>
      <c r="D315" s="27" t="s">
        <v>2680</v>
      </c>
      <c r="E315" s="26"/>
      <c r="F315" s="26"/>
      <c r="G315" s="25">
        <v>43091</v>
      </c>
      <c r="H315" s="6" t="s">
        <v>951</v>
      </c>
      <c r="I315" s="5" t="s">
        <v>1596</v>
      </c>
      <c r="J315" s="5"/>
      <c r="K315" s="7"/>
      <c r="L315" s="6"/>
      <c r="M315" s="5"/>
      <c r="Q315" s="3" t="b">
        <f t="shared" si="202"/>
        <v>0</v>
      </c>
      <c r="R315" s="3">
        <f t="shared" si="203"/>
        <v>0</v>
      </c>
      <c r="S315" s="3">
        <f t="shared" si="204"/>
        <v>0</v>
      </c>
      <c r="T315" s="3">
        <f t="shared" si="205"/>
        <v>0</v>
      </c>
      <c r="U315" s="3">
        <f t="shared" si="206"/>
        <v>0</v>
      </c>
      <c r="V315" s="3">
        <f t="shared" si="207"/>
        <v>0</v>
      </c>
      <c r="W315">
        <f t="shared" si="208"/>
        <v>0</v>
      </c>
    </row>
    <row r="316" spans="1:23" ht="22.5" x14ac:dyDescent="0.15">
      <c r="A316" s="16" t="s">
        <v>935</v>
      </c>
      <c r="B316" s="56" t="s">
        <v>818</v>
      </c>
      <c r="C316" s="28"/>
      <c r="D316" s="15" t="s">
        <v>1011</v>
      </c>
      <c r="E316" s="14" t="s">
        <v>1258</v>
      </c>
      <c r="F316" s="13" t="s">
        <v>2495</v>
      </c>
      <c r="G316" s="63" t="s">
        <v>38</v>
      </c>
      <c r="H316" s="6"/>
      <c r="I316" s="5"/>
      <c r="J316" s="5"/>
      <c r="K316" s="7"/>
      <c r="L316" s="6"/>
      <c r="M316" s="5"/>
    </row>
    <row r="317" spans="1:23" x14ac:dyDescent="0.15">
      <c r="A317" s="58" t="s">
        <v>977</v>
      </c>
      <c r="B317" s="59" t="s">
        <v>920</v>
      </c>
      <c r="C317" s="60" t="s">
        <v>1008</v>
      </c>
      <c r="D317" s="61" t="s">
        <v>1009</v>
      </c>
      <c r="E317" s="62" t="s">
        <v>2118</v>
      </c>
      <c r="F317" s="62" t="s">
        <v>1849</v>
      </c>
      <c r="G317" s="57" t="s">
        <v>994</v>
      </c>
      <c r="H317" s="6"/>
      <c r="I317" s="5"/>
      <c r="J317" s="5"/>
      <c r="K317" s="57" t="s">
        <v>982</v>
      </c>
      <c r="L317" s="6"/>
      <c r="M317" s="5"/>
    </row>
    <row r="318" spans="1:23" x14ac:dyDescent="0.15">
      <c r="A318" s="44"/>
      <c r="B318" s="43"/>
      <c r="C318" s="42"/>
      <c r="D318" s="41"/>
      <c r="E318" s="40"/>
      <c r="F318" s="39"/>
      <c r="G318" s="12" t="s">
        <v>1588</v>
      </c>
      <c r="H318" s="12" t="s">
        <v>1578</v>
      </c>
      <c r="I318" s="12" t="s">
        <v>1562</v>
      </c>
      <c r="J318" s="12" t="s">
        <v>1007</v>
      </c>
      <c r="K318" s="12" t="s">
        <v>1588</v>
      </c>
      <c r="L318" s="12" t="s">
        <v>1578</v>
      </c>
      <c r="M318" s="11" t="s">
        <v>1562</v>
      </c>
    </row>
    <row r="319" spans="1:23" ht="90" x14ac:dyDescent="0.15">
      <c r="A319" s="30" t="s">
        <v>2550</v>
      </c>
      <c r="B319" s="29" t="s">
        <v>1226</v>
      </c>
      <c r="C319" s="28" t="s">
        <v>1003</v>
      </c>
      <c r="D319" s="27" t="s">
        <v>1057</v>
      </c>
      <c r="E319" s="26" t="s">
        <v>347</v>
      </c>
      <c r="F319" s="26" t="s">
        <v>886</v>
      </c>
      <c r="G319" s="25">
        <v>43091</v>
      </c>
      <c r="H319" s="6" t="s">
        <v>951</v>
      </c>
      <c r="I319" s="5" t="s">
        <v>1596</v>
      </c>
      <c r="J319" s="5"/>
      <c r="K319" s="7"/>
      <c r="L319" s="6"/>
      <c r="M319" s="5"/>
      <c r="Q319" s="3" t="b">
        <f t="shared" ref="Q319:Q322" si="209">IF($Q$6&gt;=G319,0)</f>
        <v>0</v>
      </c>
      <c r="R319" s="3">
        <f t="shared" ref="R319:R322" si="210">IF($R$6&gt;=G319,0)</f>
        <v>0</v>
      </c>
      <c r="S319" s="3">
        <f t="shared" ref="S319:S322" si="211">IF($S$6&gt;=G319,0)</f>
        <v>0</v>
      </c>
      <c r="T319" s="3">
        <f t="shared" ref="T319:T322" si="212">IF($T$6&gt;=G319,0)</f>
        <v>0</v>
      </c>
      <c r="U319" s="3">
        <f t="shared" ref="U319:U322" si="213">IF($U$6&gt;=G319,0)</f>
        <v>0</v>
      </c>
      <c r="V319" s="3">
        <f t="shared" ref="V319:V322" si="214">IF($V$6&gt;=G319,0)</f>
        <v>0</v>
      </c>
      <c r="W319">
        <f t="shared" ref="W319:W322" si="215">IF($W$6&gt;=G319,0)</f>
        <v>0</v>
      </c>
    </row>
    <row r="320" spans="1:23" ht="45" x14ac:dyDescent="0.15">
      <c r="A320" s="30" t="s">
        <v>2339</v>
      </c>
      <c r="B320" s="29" t="s">
        <v>1262</v>
      </c>
      <c r="C320" s="28" t="s">
        <v>1003</v>
      </c>
      <c r="D320" s="27" t="s">
        <v>1057</v>
      </c>
      <c r="E320" s="26" t="s">
        <v>364</v>
      </c>
      <c r="F320" s="26" t="s">
        <v>468</v>
      </c>
      <c r="G320" s="25">
        <v>43091</v>
      </c>
      <c r="H320" s="6" t="s">
        <v>951</v>
      </c>
      <c r="I320" s="5" t="s">
        <v>1596</v>
      </c>
      <c r="J320" s="5"/>
      <c r="K320" s="7"/>
      <c r="L320" s="6"/>
      <c r="M320" s="5"/>
      <c r="Q320" s="3" t="b">
        <f t="shared" si="209"/>
        <v>0</v>
      </c>
      <c r="R320" s="3">
        <f t="shared" si="210"/>
        <v>0</v>
      </c>
      <c r="S320" s="3">
        <f t="shared" si="211"/>
        <v>0</v>
      </c>
      <c r="T320" s="3">
        <f t="shared" si="212"/>
        <v>0</v>
      </c>
      <c r="U320" s="3">
        <f t="shared" si="213"/>
        <v>0</v>
      </c>
      <c r="V320" s="3">
        <f t="shared" si="214"/>
        <v>0</v>
      </c>
      <c r="W320">
        <f t="shared" si="215"/>
        <v>0</v>
      </c>
    </row>
    <row r="321" spans="1:23" ht="90" x14ac:dyDescent="0.15">
      <c r="A321" s="30" t="s">
        <v>2230</v>
      </c>
      <c r="B321" s="29" t="s">
        <v>1324</v>
      </c>
      <c r="C321" s="28" t="s">
        <v>1003</v>
      </c>
      <c r="D321" s="27" t="s">
        <v>1057</v>
      </c>
      <c r="E321" s="26" t="s">
        <v>1385</v>
      </c>
      <c r="F321" s="26" t="s">
        <v>22</v>
      </c>
      <c r="G321" s="25">
        <v>43091</v>
      </c>
      <c r="H321" s="6" t="s">
        <v>951</v>
      </c>
      <c r="I321" s="5" t="s">
        <v>1596</v>
      </c>
      <c r="J321" s="5"/>
      <c r="K321" s="7"/>
      <c r="L321" s="6"/>
      <c r="M321" s="5"/>
      <c r="Q321" s="3" t="b">
        <f t="shared" si="209"/>
        <v>0</v>
      </c>
      <c r="R321" s="3">
        <f t="shared" si="210"/>
        <v>0</v>
      </c>
      <c r="S321" s="3">
        <f t="shared" si="211"/>
        <v>0</v>
      </c>
      <c r="T321" s="3">
        <f t="shared" si="212"/>
        <v>0</v>
      </c>
      <c r="U321" s="3">
        <f t="shared" si="213"/>
        <v>0</v>
      </c>
      <c r="V321" s="3">
        <f t="shared" si="214"/>
        <v>0</v>
      </c>
      <c r="W321">
        <f t="shared" si="215"/>
        <v>0</v>
      </c>
    </row>
    <row r="322" spans="1:23" ht="45" x14ac:dyDescent="0.15">
      <c r="A322" s="30" t="s">
        <v>2044</v>
      </c>
      <c r="B322" s="29" t="s">
        <v>749</v>
      </c>
      <c r="C322" s="28" t="s">
        <v>1003</v>
      </c>
      <c r="D322" s="27" t="s">
        <v>1057</v>
      </c>
      <c r="E322" s="26" t="s">
        <v>482</v>
      </c>
      <c r="F322" s="26" t="s">
        <v>415</v>
      </c>
      <c r="G322" s="25">
        <v>43091</v>
      </c>
      <c r="H322" s="6" t="s">
        <v>951</v>
      </c>
      <c r="I322" s="5" t="s">
        <v>1596</v>
      </c>
      <c r="J322" s="5"/>
      <c r="K322" s="7"/>
      <c r="L322" s="6"/>
      <c r="M322" s="5"/>
      <c r="Q322" s="3" t="b">
        <f t="shared" si="209"/>
        <v>0</v>
      </c>
      <c r="R322" s="3">
        <f t="shared" si="210"/>
        <v>0</v>
      </c>
      <c r="S322" s="3">
        <f t="shared" si="211"/>
        <v>0</v>
      </c>
      <c r="T322" s="3">
        <f t="shared" si="212"/>
        <v>0</v>
      </c>
      <c r="U322" s="3">
        <f t="shared" si="213"/>
        <v>0</v>
      </c>
      <c r="V322" s="3">
        <f t="shared" si="214"/>
        <v>0</v>
      </c>
      <c r="W322">
        <f t="shared" si="215"/>
        <v>0</v>
      </c>
    </row>
    <row r="323" spans="1:23" x14ac:dyDescent="0.15">
      <c r="A323" s="16" t="s">
        <v>935</v>
      </c>
      <c r="B323" s="129" t="s">
        <v>1413</v>
      </c>
      <c r="C323" s="130"/>
      <c r="D323" s="15" t="s">
        <v>1011</v>
      </c>
      <c r="E323" s="14" t="s">
        <v>1025</v>
      </c>
      <c r="F323" s="13" t="s">
        <v>2495</v>
      </c>
      <c r="G323" s="131" t="s">
        <v>656</v>
      </c>
      <c r="H323" s="132"/>
      <c r="I323" s="132"/>
      <c r="J323" s="132"/>
      <c r="K323" s="132"/>
      <c r="L323" s="132"/>
      <c r="M323" s="133"/>
    </row>
    <row r="324" spans="1:23" x14ac:dyDescent="0.15">
      <c r="A324" s="134" t="s">
        <v>977</v>
      </c>
      <c r="B324" s="136" t="s">
        <v>920</v>
      </c>
      <c r="C324" s="138" t="s">
        <v>1008</v>
      </c>
      <c r="D324" s="140" t="s">
        <v>1009</v>
      </c>
      <c r="E324" s="142" t="s">
        <v>2118</v>
      </c>
      <c r="F324" s="142" t="s">
        <v>1849</v>
      </c>
      <c r="G324" s="144" t="s">
        <v>994</v>
      </c>
      <c r="H324" s="145"/>
      <c r="I324" s="145"/>
      <c r="J324" s="146"/>
      <c r="K324" s="144" t="s">
        <v>982</v>
      </c>
      <c r="L324" s="145"/>
      <c r="M324" s="147"/>
    </row>
    <row r="325" spans="1:23" x14ac:dyDescent="0.15">
      <c r="A325" s="135"/>
      <c r="B325" s="137"/>
      <c r="C325" s="139"/>
      <c r="D325" s="141"/>
      <c r="E325" s="143"/>
      <c r="F325" s="143"/>
      <c r="G325" s="12" t="s">
        <v>1588</v>
      </c>
      <c r="H325" s="12" t="s">
        <v>1578</v>
      </c>
      <c r="I325" s="12" t="s">
        <v>1562</v>
      </c>
      <c r="J325" s="12" t="s">
        <v>1007</v>
      </c>
      <c r="K325" s="12" t="s">
        <v>1588</v>
      </c>
      <c r="L325" s="12" t="s">
        <v>1578</v>
      </c>
      <c r="M325" s="11" t="s">
        <v>1562</v>
      </c>
    </row>
    <row r="326" spans="1:23" ht="72" customHeight="1" x14ac:dyDescent="0.15">
      <c r="A326" s="30" t="s">
        <v>2440</v>
      </c>
      <c r="B326" s="29" t="s">
        <v>1025</v>
      </c>
      <c r="C326" s="28" t="s">
        <v>1003</v>
      </c>
      <c r="D326" s="27" t="s">
        <v>45</v>
      </c>
      <c r="E326" s="26" t="s">
        <v>690</v>
      </c>
      <c r="F326" s="26" t="s">
        <v>24</v>
      </c>
      <c r="G326" s="25">
        <v>43091</v>
      </c>
      <c r="H326" s="33" t="s">
        <v>951</v>
      </c>
      <c r="I326" s="27" t="s">
        <v>1596</v>
      </c>
      <c r="J326" s="5"/>
      <c r="K326" s="7"/>
      <c r="L326" s="6"/>
      <c r="M326" s="5"/>
      <c r="Q326" s="3" t="b">
        <f t="shared" ref="Q326:Q329" si="216">IF($Q$6&gt;=G326,0)</f>
        <v>0</v>
      </c>
      <c r="R326" s="3">
        <f t="shared" ref="R326:R329" si="217">IF($R$6&gt;=G326,0)</f>
        <v>0</v>
      </c>
      <c r="S326" s="3">
        <f t="shared" ref="S326:S329" si="218">IF($S$6&gt;=G326,0)</f>
        <v>0</v>
      </c>
      <c r="T326" s="3">
        <f t="shared" ref="T326:T329" si="219">IF($T$6&gt;=G326,0)</f>
        <v>0</v>
      </c>
      <c r="U326" s="3">
        <f t="shared" ref="U326:U329" si="220">IF($U$6&gt;=G326,0)</f>
        <v>0</v>
      </c>
      <c r="V326" s="3">
        <f t="shared" ref="V326:V329" si="221">IF($V$6&gt;=G326,0)</f>
        <v>0</v>
      </c>
      <c r="W326">
        <f t="shared" ref="W326:W329" si="222">IF($W$6&gt;=G326,0)</f>
        <v>0</v>
      </c>
    </row>
    <row r="327" spans="1:23" ht="45" x14ac:dyDescent="0.15">
      <c r="A327" s="30" t="s">
        <v>1619</v>
      </c>
      <c r="B327" s="29" t="s">
        <v>1098</v>
      </c>
      <c r="C327" s="28" t="s">
        <v>1003</v>
      </c>
      <c r="D327" s="27" t="s">
        <v>45</v>
      </c>
      <c r="E327" s="26" t="s">
        <v>771</v>
      </c>
      <c r="F327" s="26" t="s">
        <v>356</v>
      </c>
      <c r="G327" s="25">
        <v>43091</v>
      </c>
      <c r="H327" s="33" t="s">
        <v>951</v>
      </c>
      <c r="I327" s="27" t="s">
        <v>1596</v>
      </c>
      <c r="J327" s="5"/>
      <c r="K327" s="7"/>
      <c r="L327" s="6"/>
      <c r="M327" s="5"/>
      <c r="Q327" s="3" t="b">
        <f t="shared" si="216"/>
        <v>0</v>
      </c>
      <c r="R327" s="3">
        <f t="shared" si="217"/>
        <v>0</v>
      </c>
      <c r="S327" s="3">
        <f t="shared" si="218"/>
        <v>0</v>
      </c>
      <c r="T327" s="3">
        <f t="shared" si="219"/>
        <v>0</v>
      </c>
      <c r="U327" s="3">
        <f t="shared" si="220"/>
        <v>0</v>
      </c>
      <c r="V327" s="3">
        <f t="shared" si="221"/>
        <v>0</v>
      </c>
      <c r="W327">
        <f t="shared" si="222"/>
        <v>0</v>
      </c>
    </row>
    <row r="328" spans="1:23" ht="72.75" customHeight="1" x14ac:dyDescent="0.15">
      <c r="A328" s="30" t="s">
        <v>2478</v>
      </c>
      <c r="B328" s="29" t="s">
        <v>1052</v>
      </c>
      <c r="C328" s="28" t="s">
        <v>1003</v>
      </c>
      <c r="D328" s="27" t="s">
        <v>45</v>
      </c>
      <c r="E328" s="26" t="s">
        <v>691</v>
      </c>
      <c r="F328" s="26" t="s">
        <v>348</v>
      </c>
      <c r="G328" s="25">
        <v>43091</v>
      </c>
      <c r="H328" s="33" t="s">
        <v>951</v>
      </c>
      <c r="I328" s="27" t="s">
        <v>1596</v>
      </c>
      <c r="J328" s="5"/>
      <c r="K328" s="7"/>
      <c r="L328" s="6"/>
      <c r="M328" s="5"/>
      <c r="Q328" s="3" t="b">
        <f t="shared" si="216"/>
        <v>0</v>
      </c>
      <c r="R328" s="3">
        <f t="shared" si="217"/>
        <v>0</v>
      </c>
      <c r="S328" s="3">
        <f t="shared" si="218"/>
        <v>0</v>
      </c>
      <c r="T328" s="3">
        <f t="shared" si="219"/>
        <v>0</v>
      </c>
      <c r="U328" s="3">
        <f t="shared" si="220"/>
        <v>0</v>
      </c>
      <c r="V328" s="3">
        <f t="shared" si="221"/>
        <v>0</v>
      </c>
      <c r="W328">
        <f t="shared" si="222"/>
        <v>0</v>
      </c>
    </row>
    <row r="329" spans="1:23" ht="67.5" x14ac:dyDescent="0.15">
      <c r="A329" s="30" t="s">
        <v>1810</v>
      </c>
      <c r="B329" s="29" t="s">
        <v>1029</v>
      </c>
      <c r="C329" s="28" t="s">
        <v>1003</v>
      </c>
      <c r="D329" s="27" t="s">
        <v>45</v>
      </c>
      <c r="E329" s="26" t="s">
        <v>457</v>
      </c>
      <c r="F329" s="26" t="s">
        <v>786</v>
      </c>
      <c r="G329" s="25">
        <v>43091</v>
      </c>
      <c r="H329" s="33" t="s">
        <v>951</v>
      </c>
      <c r="I329" s="27" t="s">
        <v>1596</v>
      </c>
      <c r="J329" s="5"/>
      <c r="K329" s="7"/>
      <c r="L329" s="6"/>
      <c r="M329" s="5"/>
      <c r="Q329" s="3" t="b">
        <f t="shared" si="216"/>
        <v>0</v>
      </c>
      <c r="R329" s="3">
        <f t="shared" si="217"/>
        <v>0</v>
      </c>
      <c r="S329" s="3">
        <f t="shared" si="218"/>
        <v>0</v>
      </c>
      <c r="T329" s="3">
        <f t="shared" si="219"/>
        <v>0</v>
      </c>
      <c r="U329" s="3">
        <f t="shared" si="220"/>
        <v>0</v>
      </c>
      <c r="V329" s="3">
        <f t="shared" si="221"/>
        <v>0</v>
      </c>
      <c r="W329">
        <f t="shared" si="222"/>
        <v>0</v>
      </c>
    </row>
    <row r="330" spans="1:23" ht="22.5" x14ac:dyDescent="0.15">
      <c r="A330" s="16" t="s">
        <v>935</v>
      </c>
      <c r="B330" s="56" t="s">
        <v>625</v>
      </c>
      <c r="C330" s="28"/>
      <c r="D330" s="15" t="s">
        <v>1011</v>
      </c>
      <c r="E330" s="14" t="s">
        <v>170</v>
      </c>
      <c r="F330" s="13" t="s">
        <v>2495</v>
      </c>
      <c r="G330" s="63" t="s">
        <v>656</v>
      </c>
      <c r="H330" s="33"/>
      <c r="I330" s="27"/>
      <c r="J330" s="5"/>
      <c r="K330" s="7"/>
      <c r="L330" s="6"/>
      <c r="M330" s="5"/>
    </row>
    <row r="331" spans="1:23" x14ac:dyDescent="0.15">
      <c r="A331" s="58" t="s">
        <v>977</v>
      </c>
      <c r="B331" s="59" t="s">
        <v>920</v>
      </c>
      <c r="C331" s="60" t="s">
        <v>1008</v>
      </c>
      <c r="D331" s="61" t="s">
        <v>1009</v>
      </c>
      <c r="E331" s="62" t="s">
        <v>2118</v>
      </c>
      <c r="F331" s="62" t="s">
        <v>1849</v>
      </c>
      <c r="G331" s="57" t="s">
        <v>994</v>
      </c>
      <c r="H331" s="33"/>
      <c r="I331" s="27"/>
      <c r="J331" s="5"/>
      <c r="K331" s="57" t="s">
        <v>982</v>
      </c>
      <c r="L331" s="6"/>
      <c r="M331" s="5"/>
    </row>
    <row r="332" spans="1:23" x14ac:dyDescent="0.15">
      <c r="A332" s="35"/>
      <c r="B332" s="59"/>
      <c r="C332" s="60"/>
      <c r="D332" s="61"/>
      <c r="E332" s="62"/>
      <c r="F332" s="62"/>
      <c r="G332" s="12" t="s">
        <v>1588</v>
      </c>
      <c r="H332" s="12" t="s">
        <v>1578</v>
      </c>
      <c r="I332" s="12" t="s">
        <v>1562</v>
      </c>
      <c r="J332" s="12" t="s">
        <v>1007</v>
      </c>
      <c r="K332" s="12" t="s">
        <v>1588</v>
      </c>
      <c r="L332" s="12" t="s">
        <v>1578</v>
      </c>
      <c r="M332" s="11" t="s">
        <v>1562</v>
      </c>
    </row>
    <row r="333" spans="1:23" ht="33.75" x14ac:dyDescent="0.15">
      <c r="A333" s="30" t="s">
        <v>2091</v>
      </c>
      <c r="B333" s="29" t="s">
        <v>170</v>
      </c>
      <c r="C333" s="28" t="s">
        <v>938</v>
      </c>
      <c r="D333" s="27" t="s">
        <v>1313</v>
      </c>
      <c r="E333" s="26" t="s">
        <v>405</v>
      </c>
      <c r="F333" s="26" t="s">
        <v>2669</v>
      </c>
      <c r="G333" s="25">
        <v>43091</v>
      </c>
      <c r="H333" s="33" t="s">
        <v>951</v>
      </c>
      <c r="I333" s="27" t="s">
        <v>1596</v>
      </c>
      <c r="J333" s="5"/>
      <c r="K333" s="7"/>
      <c r="L333" s="6"/>
      <c r="M333" s="5"/>
      <c r="Q333" s="3" t="b">
        <f t="shared" ref="Q333:Q339" si="223">IF($Q$6&gt;=G333,0)</f>
        <v>0</v>
      </c>
      <c r="R333" s="3">
        <f t="shared" ref="R333:R339" si="224">IF($R$6&gt;=G333,0)</f>
        <v>0</v>
      </c>
      <c r="S333" s="3">
        <f t="shared" ref="S333:S339" si="225">IF($S$6&gt;=G333,0)</f>
        <v>0</v>
      </c>
      <c r="T333" s="3">
        <f t="shared" ref="T333:T339" si="226">IF($T$6&gt;=G333,0)</f>
        <v>0</v>
      </c>
      <c r="U333" s="3">
        <f t="shared" ref="U333:U339" si="227">IF($U$6&gt;=G333,0)</f>
        <v>0</v>
      </c>
      <c r="V333" s="3">
        <f t="shared" ref="V333:V339" si="228">IF($V$6&gt;=G333,0)</f>
        <v>0</v>
      </c>
      <c r="W333">
        <f t="shared" ref="W333:W339" si="229">IF($W$6&gt;=G333,0)</f>
        <v>0</v>
      </c>
    </row>
    <row r="334" spans="1:23" ht="33.75" x14ac:dyDescent="0.15">
      <c r="A334" s="30" t="s">
        <v>1877</v>
      </c>
      <c r="B334" s="29" t="s">
        <v>2685</v>
      </c>
      <c r="C334" s="28" t="s">
        <v>938</v>
      </c>
      <c r="D334" s="27" t="s">
        <v>1313</v>
      </c>
      <c r="E334" s="26" t="s">
        <v>405</v>
      </c>
      <c r="F334" s="26" t="s">
        <v>2669</v>
      </c>
      <c r="G334" s="25">
        <v>43091</v>
      </c>
      <c r="H334" s="33" t="s">
        <v>951</v>
      </c>
      <c r="I334" s="27" t="s">
        <v>1596</v>
      </c>
      <c r="J334" s="5"/>
      <c r="K334" s="7"/>
      <c r="L334" s="6"/>
      <c r="M334" s="5"/>
      <c r="Q334" s="3" t="b">
        <f t="shared" si="223"/>
        <v>0</v>
      </c>
      <c r="R334" s="3">
        <f t="shared" si="224"/>
        <v>0</v>
      </c>
      <c r="S334" s="3">
        <f t="shared" si="225"/>
        <v>0</v>
      </c>
      <c r="T334" s="3">
        <f t="shared" si="226"/>
        <v>0</v>
      </c>
      <c r="U334" s="3">
        <f t="shared" si="227"/>
        <v>0</v>
      </c>
      <c r="V334" s="3">
        <f t="shared" si="228"/>
        <v>0</v>
      </c>
      <c r="W334">
        <f t="shared" si="229"/>
        <v>0</v>
      </c>
    </row>
    <row r="335" spans="1:23" ht="33.75" x14ac:dyDescent="0.15">
      <c r="A335" s="30" t="s">
        <v>2220</v>
      </c>
      <c r="B335" s="29" t="s">
        <v>2637</v>
      </c>
      <c r="C335" s="28" t="s">
        <v>938</v>
      </c>
      <c r="D335" s="27" t="s">
        <v>1313</v>
      </c>
      <c r="E335" s="26" t="s">
        <v>405</v>
      </c>
      <c r="F335" s="26" t="s">
        <v>2669</v>
      </c>
      <c r="G335" s="25">
        <v>43091</v>
      </c>
      <c r="H335" s="33" t="s">
        <v>951</v>
      </c>
      <c r="I335" s="27" t="s">
        <v>1596</v>
      </c>
      <c r="J335" s="5"/>
      <c r="K335" s="7"/>
      <c r="L335" s="6"/>
      <c r="M335" s="5"/>
      <c r="Q335" s="3" t="b">
        <f t="shared" si="223"/>
        <v>0</v>
      </c>
      <c r="R335" s="3">
        <f t="shared" si="224"/>
        <v>0</v>
      </c>
      <c r="S335" s="3">
        <f t="shared" si="225"/>
        <v>0</v>
      </c>
      <c r="T335" s="3">
        <f t="shared" si="226"/>
        <v>0</v>
      </c>
      <c r="U335" s="3">
        <f t="shared" si="227"/>
        <v>0</v>
      </c>
      <c r="V335" s="3">
        <f t="shared" si="228"/>
        <v>0</v>
      </c>
      <c r="W335">
        <f t="shared" si="229"/>
        <v>0</v>
      </c>
    </row>
    <row r="336" spans="1:23" ht="33.75" x14ac:dyDescent="0.15">
      <c r="A336" s="30" t="s">
        <v>2343</v>
      </c>
      <c r="B336" s="29" t="s">
        <v>2664</v>
      </c>
      <c r="C336" s="28" t="s">
        <v>938</v>
      </c>
      <c r="D336" s="27" t="s">
        <v>1313</v>
      </c>
      <c r="E336" s="26" t="s">
        <v>405</v>
      </c>
      <c r="F336" s="26" t="s">
        <v>2669</v>
      </c>
      <c r="G336" s="25">
        <v>43091</v>
      </c>
      <c r="H336" s="33" t="s">
        <v>951</v>
      </c>
      <c r="I336" s="27" t="s">
        <v>1596</v>
      </c>
      <c r="J336" s="5"/>
      <c r="K336" s="7"/>
      <c r="L336" s="6"/>
      <c r="M336" s="5"/>
      <c r="Q336" s="3" t="b">
        <f t="shared" si="223"/>
        <v>0</v>
      </c>
      <c r="R336" s="3">
        <f t="shared" si="224"/>
        <v>0</v>
      </c>
      <c r="S336" s="3">
        <f t="shared" si="225"/>
        <v>0</v>
      </c>
      <c r="T336" s="3">
        <f t="shared" si="226"/>
        <v>0</v>
      </c>
      <c r="U336" s="3">
        <f t="shared" si="227"/>
        <v>0</v>
      </c>
      <c r="V336" s="3">
        <f t="shared" si="228"/>
        <v>0</v>
      </c>
      <c r="W336">
        <f t="shared" si="229"/>
        <v>0</v>
      </c>
    </row>
    <row r="337" spans="1:23" ht="33.75" x14ac:dyDescent="0.15">
      <c r="A337" s="30" t="s">
        <v>1969</v>
      </c>
      <c r="B337" s="29" t="s">
        <v>2631</v>
      </c>
      <c r="C337" s="28" t="s">
        <v>938</v>
      </c>
      <c r="D337" s="27" t="s">
        <v>1313</v>
      </c>
      <c r="E337" s="26" t="s">
        <v>405</v>
      </c>
      <c r="F337" s="26" t="s">
        <v>2669</v>
      </c>
      <c r="G337" s="25">
        <v>43091</v>
      </c>
      <c r="H337" s="33" t="s">
        <v>951</v>
      </c>
      <c r="I337" s="27" t="s">
        <v>1596</v>
      </c>
      <c r="J337" s="5"/>
      <c r="K337" s="7"/>
      <c r="L337" s="6"/>
      <c r="M337" s="5"/>
      <c r="Q337" s="3" t="b">
        <f t="shared" si="223"/>
        <v>0</v>
      </c>
      <c r="R337" s="3">
        <f t="shared" si="224"/>
        <v>0</v>
      </c>
      <c r="S337" s="3">
        <f t="shared" si="225"/>
        <v>0</v>
      </c>
      <c r="T337" s="3">
        <f t="shared" si="226"/>
        <v>0</v>
      </c>
      <c r="U337" s="3">
        <f t="shared" si="227"/>
        <v>0</v>
      </c>
      <c r="V337" s="3">
        <f t="shared" si="228"/>
        <v>0</v>
      </c>
      <c r="W337">
        <f t="shared" si="229"/>
        <v>0</v>
      </c>
    </row>
    <row r="338" spans="1:23" ht="33.75" x14ac:dyDescent="0.15">
      <c r="A338" s="30" t="s">
        <v>2246</v>
      </c>
      <c r="B338" s="29" t="s">
        <v>2686</v>
      </c>
      <c r="C338" s="28" t="s">
        <v>938</v>
      </c>
      <c r="D338" s="27" t="s">
        <v>1313</v>
      </c>
      <c r="E338" s="26" t="s">
        <v>405</v>
      </c>
      <c r="F338" s="26" t="s">
        <v>2669</v>
      </c>
      <c r="G338" s="25">
        <v>43091</v>
      </c>
      <c r="H338" s="33" t="s">
        <v>951</v>
      </c>
      <c r="I338" s="27" t="s">
        <v>1596</v>
      </c>
      <c r="J338" s="5"/>
      <c r="K338" s="7"/>
      <c r="L338" s="6"/>
      <c r="M338" s="5"/>
      <c r="Q338" s="3" t="b">
        <f t="shared" si="223"/>
        <v>0</v>
      </c>
      <c r="R338" s="3">
        <f t="shared" si="224"/>
        <v>0</v>
      </c>
      <c r="S338" s="3">
        <f t="shared" si="225"/>
        <v>0</v>
      </c>
      <c r="T338" s="3">
        <f t="shared" si="226"/>
        <v>0</v>
      </c>
      <c r="U338" s="3">
        <f t="shared" si="227"/>
        <v>0</v>
      </c>
      <c r="V338" s="3">
        <f t="shared" si="228"/>
        <v>0</v>
      </c>
      <c r="W338">
        <f t="shared" si="229"/>
        <v>0</v>
      </c>
    </row>
    <row r="339" spans="1:23" ht="33.75" x14ac:dyDescent="0.15">
      <c r="A339" s="30" t="s">
        <v>2263</v>
      </c>
      <c r="B339" s="29" t="s">
        <v>1046</v>
      </c>
      <c r="C339" s="28" t="s">
        <v>938</v>
      </c>
      <c r="D339" s="27" t="s">
        <v>662</v>
      </c>
      <c r="E339" s="26" t="s">
        <v>422</v>
      </c>
      <c r="F339" s="26" t="s">
        <v>100</v>
      </c>
      <c r="G339" s="25">
        <v>43091</v>
      </c>
      <c r="H339" s="33" t="s">
        <v>951</v>
      </c>
      <c r="I339" s="27" t="s">
        <v>1596</v>
      </c>
      <c r="J339" s="5"/>
      <c r="K339" s="7"/>
      <c r="L339" s="6"/>
      <c r="M339" s="5"/>
      <c r="Q339" s="3" t="b">
        <f t="shared" si="223"/>
        <v>0</v>
      </c>
      <c r="R339" s="3">
        <f t="shared" si="224"/>
        <v>0</v>
      </c>
      <c r="S339" s="3">
        <f t="shared" si="225"/>
        <v>0</v>
      </c>
      <c r="T339" s="3">
        <f t="shared" si="226"/>
        <v>0</v>
      </c>
      <c r="U339" s="3">
        <f t="shared" si="227"/>
        <v>0</v>
      </c>
      <c r="V339" s="3">
        <f t="shared" si="228"/>
        <v>0</v>
      </c>
      <c r="W339">
        <f t="shared" si="229"/>
        <v>0</v>
      </c>
    </row>
    <row r="340" spans="1:23" x14ac:dyDescent="0.15">
      <c r="A340" s="16" t="s">
        <v>935</v>
      </c>
      <c r="B340" s="129" t="s">
        <v>548</v>
      </c>
      <c r="C340" s="130"/>
      <c r="D340" s="15" t="s">
        <v>1011</v>
      </c>
      <c r="E340" s="14" t="s">
        <v>330</v>
      </c>
      <c r="F340" s="13" t="s">
        <v>2495</v>
      </c>
      <c r="G340" s="131" t="s">
        <v>542</v>
      </c>
      <c r="H340" s="132"/>
      <c r="I340" s="132"/>
      <c r="J340" s="132"/>
      <c r="K340" s="132"/>
      <c r="L340" s="132"/>
      <c r="M340" s="133"/>
    </row>
    <row r="341" spans="1:23" x14ac:dyDescent="0.15">
      <c r="A341" s="134" t="s">
        <v>977</v>
      </c>
      <c r="B341" s="136" t="s">
        <v>920</v>
      </c>
      <c r="C341" s="138" t="s">
        <v>1008</v>
      </c>
      <c r="D341" s="140" t="s">
        <v>1009</v>
      </c>
      <c r="E341" s="142" t="s">
        <v>2118</v>
      </c>
      <c r="F341" s="142" t="s">
        <v>1849</v>
      </c>
      <c r="G341" s="144" t="s">
        <v>994</v>
      </c>
      <c r="H341" s="145"/>
      <c r="I341" s="145"/>
      <c r="J341" s="146"/>
      <c r="K341" s="144" t="s">
        <v>982</v>
      </c>
      <c r="L341" s="145"/>
      <c r="M341" s="147"/>
    </row>
    <row r="342" spans="1:23" x14ac:dyDescent="0.15">
      <c r="A342" s="135"/>
      <c r="B342" s="137"/>
      <c r="C342" s="139"/>
      <c r="D342" s="141"/>
      <c r="E342" s="143"/>
      <c r="F342" s="143"/>
      <c r="G342" s="12" t="s">
        <v>1588</v>
      </c>
      <c r="H342" s="12" t="s">
        <v>1578</v>
      </c>
      <c r="I342" s="12" t="s">
        <v>1562</v>
      </c>
      <c r="J342" s="12" t="s">
        <v>1007</v>
      </c>
      <c r="K342" s="12" t="s">
        <v>1588</v>
      </c>
      <c r="L342" s="12" t="s">
        <v>1578</v>
      </c>
      <c r="M342" s="11" t="s">
        <v>1562</v>
      </c>
    </row>
    <row r="343" spans="1:23" ht="101.25" x14ac:dyDescent="0.15">
      <c r="A343" s="30" t="s">
        <v>1847</v>
      </c>
      <c r="B343" s="29" t="s">
        <v>2717</v>
      </c>
      <c r="C343" s="28" t="s">
        <v>938</v>
      </c>
      <c r="D343" s="27" t="s">
        <v>735</v>
      </c>
      <c r="E343" s="26" t="s">
        <v>351</v>
      </c>
      <c r="F343" s="26" t="s">
        <v>349</v>
      </c>
      <c r="G343" s="7">
        <v>43091</v>
      </c>
      <c r="H343" s="6" t="s">
        <v>951</v>
      </c>
      <c r="I343" s="5" t="s">
        <v>1596</v>
      </c>
      <c r="J343" s="5"/>
      <c r="K343" s="7"/>
      <c r="L343" s="6"/>
      <c r="M343" s="5"/>
      <c r="Q343" s="3" t="b">
        <f>IF($Q$6&gt;=G343,0)</f>
        <v>0</v>
      </c>
      <c r="R343" s="3">
        <f>IF($R$6&gt;=G343,0)</f>
        <v>0</v>
      </c>
      <c r="S343" s="3">
        <f>IF($S$6&gt;=G343,0)</f>
        <v>0</v>
      </c>
      <c r="T343" s="3">
        <f>IF($T$6&gt;=G343,0)</f>
        <v>0</v>
      </c>
      <c r="U343" s="3">
        <f>IF($U$6&gt;=G343,0)</f>
        <v>0</v>
      </c>
      <c r="V343" s="3">
        <f>IF($V$6&gt;=G343,0)</f>
        <v>0</v>
      </c>
      <c r="W343">
        <f>IF($W$6&gt;=G343,0)</f>
        <v>0</v>
      </c>
    </row>
    <row r="344" spans="1:23" ht="22.5" x14ac:dyDescent="0.15">
      <c r="A344" s="16" t="s">
        <v>935</v>
      </c>
      <c r="B344" s="56" t="s">
        <v>800</v>
      </c>
      <c r="C344" s="28"/>
      <c r="D344" s="15" t="s">
        <v>1011</v>
      </c>
      <c r="E344" s="14" t="s">
        <v>340</v>
      </c>
      <c r="F344" s="13" t="s">
        <v>2495</v>
      </c>
      <c r="G344" s="63" t="s">
        <v>542</v>
      </c>
      <c r="H344" s="6"/>
      <c r="I344" s="5"/>
      <c r="J344" s="5"/>
      <c r="K344" s="7"/>
      <c r="L344" s="6"/>
      <c r="M344" s="5"/>
    </row>
    <row r="345" spans="1:23" x14ac:dyDescent="0.15">
      <c r="A345" s="58" t="s">
        <v>977</v>
      </c>
      <c r="B345" s="59" t="s">
        <v>920</v>
      </c>
      <c r="C345" s="60" t="s">
        <v>1008</v>
      </c>
      <c r="D345" s="61" t="s">
        <v>1009</v>
      </c>
      <c r="E345" s="62" t="s">
        <v>2118</v>
      </c>
      <c r="F345" s="62" t="s">
        <v>1849</v>
      </c>
      <c r="G345" s="57" t="s">
        <v>994</v>
      </c>
      <c r="H345" s="6"/>
      <c r="I345" s="5"/>
      <c r="J345" s="5"/>
      <c r="K345" s="57" t="s">
        <v>982</v>
      </c>
      <c r="L345" s="6"/>
      <c r="M345" s="5"/>
    </row>
    <row r="346" spans="1:23" x14ac:dyDescent="0.15">
      <c r="A346" s="35"/>
      <c r="B346" s="59"/>
      <c r="C346" s="60"/>
      <c r="D346" s="61"/>
      <c r="E346" s="62"/>
      <c r="F346" s="62"/>
      <c r="G346" s="12" t="s">
        <v>1588</v>
      </c>
      <c r="H346" s="12" t="s">
        <v>1578</v>
      </c>
      <c r="I346" s="12" t="s">
        <v>1562</v>
      </c>
      <c r="J346" s="12" t="s">
        <v>1007</v>
      </c>
      <c r="K346" s="12" t="s">
        <v>1588</v>
      </c>
      <c r="L346" s="12" t="s">
        <v>1578</v>
      </c>
      <c r="M346" s="11" t="s">
        <v>1562</v>
      </c>
    </row>
    <row r="347" spans="1:23" ht="45" x14ac:dyDescent="0.15">
      <c r="A347" s="30" t="s">
        <v>2312</v>
      </c>
      <c r="B347" s="29" t="s">
        <v>2719</v>
      </c>
      <c r="C347" s="28" t="s">
        <v>938</v>
      </c>
      <c r="D347" s="27" t="s">
        <v>735</v>
      </c>
      <c r="E347" s="26" t="s">
        <v>434</v>
      </c>
      <c r="F347" s="26" t="s">
        <v>406</v>
      </c>
      <c r="G347" s="7">
        <v>43091</v>
      </c>
      <c r="H347" s="6" t="s">
        <v>951</v>
      </c>
      <c r="I347" s="5" t="s">
        <v>1596</v>
      </c>
      <c r="J347" s="5"/>
      <c r="K347" s="7"/>
      <c r="L347" s="6"/>
      <c r="M347" s="5"/>
      <c r="Q347" s="3" t="b">
        <f t="shared" ref="Q347:Q350" si="230">IF($Q$6&gt;=G347,0)</f>
        <v>0</v>
      </c>
      <c r="R347" s="3">
        <f t="shared" ref="R347:R350" si="231">IF($R$6&gt;=G347,0)</f>
        <v>0</v>
      </c>
      <c r="S347" s="3">
        <f t="shared" ref="S347:S350" si="232">IF($S$6&gt;=G347,0)</f>
        <v>0</v>
      </c>
      <c r="T347" s="3">
        <f t="shared" ref="T347:T350" si="233">IF($T$6&gt;=G347,0)</f>
        <v>0</v>
      </c>
      <c r="U347" s="3">
        <f t="shared" ref="U347:U350" si="234">IF($U$6&gt;=G347,0)</f>
        <v>0</v>
      </c>
      <c r="V347" s="3">
        <f t="shared" ref="V347:V350" si="235">IF($V$6&gt;=G347,0)</f>
        <v>0</v>
      </c>
      <c r="W347">
        <f t="shared" ref="W347:W350" si="236">IF($W$6&gt;=G347,0)</f>
        <v>0</v>
      </c>
    </row>
    <row r="348" spans="1:23" ht="78.75" x14ac:dyDescent="0.15">
      <c r="A348" s="30" t="s">
        <v>2524</v>
      </c>
      <c r="B348" s="29" t="s">
        <v>2718</v>
      </c>
      <c r="C348" s="28" t="s">
        <v>938</v>
      </c>
      <c r="D348" s="27" t="s">
        <v>735</v>
      </c>
      <c r="E348" s="26" t="s">
        <v>69</v>
      </c>
      <c r="F348" s="26" t="s">
        <v>1844</v>
      </c>
      <c r="G348" s="7">
        <v>43091</v>
      </c>
      <c r="H348" s="6" t="s">
        <v>951</v>
      </c>
      <c r="I348" s="5" t="s">
        <v>1596</v>
      </c>
      <c r="J348" s="5"/>
      <c r="K348" s="7"/>
      <c r="L348" s="6"/>
      <c r="M348" s="5"/>
      <c r="Q348" s="3" t="b">
        <f t="shared" si="230"/>
        <v>0</v>
      </c>
      <c r="R348" s="3">
        <f t="shared" si="231"/>
        <v>0</v>
      </c>
      <c r="S348" s="3">
        <f t="shared" si="232"/>
        <v>0</v>
      </c>
      <c r="T348" s="3">
        <f t="shared" si="233"/>
        <v>0</v>
      </c>
      <c r="U348" s="3">
        <f t="shared" si="234"/>
        <v>0</v>
      </c>
      <c r="V348" s="3">
        <f t="shared" si="235"/>
        <v>0</v>
      </c>
      <c r="W348">
        <f t="shared" si="236"/>
        <v>0</v>
      </c>
    </row>
    <row r="349" spans="1:23" ht="56.25" x14ac:dyDescent="0.15">
      <c r="A349" s="30" t="s">
        <v>2557</v>
      </c>
      <c r="B349" s="29" t="s">
        <v>2619</v>
      </c>
      <c r="C349" s="28" t="s">
        <v>938</v>
      </c>
      <c r="D349" s="27" t="s">
        <v>735</v>
      </c>
      <c r="E349" s="26" t="s">
        <v>358</v>
      </c>
      <c r="F349" s="26" t="s">
        <v>440</v>
      </c>
      <c r="G349" s="7">
        <v>43091</v>
      </c>
      <c r="H349" s="6" t="s">
        <v>951</v>
      </c>
      <c r="I349" s="5" t="s">
        <v>1596</v>
      </c>
      <c r="J349" s="5"/>
      <c r="K349" s="7"/>
      <c r="L349" s="6"/>
      <c r="M349" s="5"/>
      <c r="Q349" s="3" t="b">
        <f t="shared" si="230"/>
        <v>0</v>
      </c>
      <c r="R349" s="3">
        <f t="shared" si="231"/>
        <v>0</v>
      </c>
      <c r="S349" s="3">
        <f t="shared" si="232"/>
        <v>0</v>
      </c>
      <c r="T349" s="3">
        <f t="shared" si="233"/>
        <v>0</v>
      </c>
      <c r="U349" s="3">
        <f t="shared" si="234"/>
        <v>0</v>
      </c>
      <c r="V349" s="3">
        <f t="shared" si="235"/>
        <v>0</v>
      </c>
      <c r="W349">
        <f t="shared" si="236"/>
        <v>0</v>
      </c>
    </row>
    <row r="350" spans="1:23" ht="33.75" x14ac:dyDescent="0.15">
      <c r="A350" s="30" t="s">
        <v>2287</v>
      </c>
      <c r="B350" s="29" t="s">
        <v>2620</v>
      </c>
      <c r="C350" s="28" t="s">
        <v>938</v>
      </c>
      <c r="D350" s="27" t="s">
        <v>735</v>
      </c>
      <c r="E350" s="26" t="s">
        <v>773</v>
      </c>
      <c r="F350" s="26" t="s">
        <v>2669</v>
      </c>
      <c r="G350" s="7">
        <v>43091</v>
      </c>
      <c r="H350" s="6" t="s">
        <v>951</v>
      </c>
      <c r="I350" s="5" t="s">
        <v>1596</v>
      </c>
      <c r="J350" s="5"/>
      <c r="K350" s="7"/>
      <c r="L350" s="6"/>
      <c r="M350" s="5"/>
      <c r="Q350" s="3" t="b">
        <f t="shared" si="230"/>
        <v>0</v>
      </c>
      <c r="R350" s="3">
        <f t="shared" si="231"/>
        <v>0</v>
      </c>
      <c r="S350" s="3">
        <f t="shared" si="232"/>
        <v>0</v>
      </c>
      <c r="T350" s="3">
        <f t="shared" si="233"/>
        <v>0</v>
      </c>
      <c r="U350" s="3">
        <f t="shared" si="234"/>
        <v>0</v>
      </c>
      <c r="V350" s="3">
        <f t="shared" si="235"/>
        <v>0</v>
      </c>
      <c r="W350">
        <f t="shared" si="236"/>
        <v>0</v>
      </c>
    </row>
    <row r="351" spans="1:23" x14ac:dyDescent="0.15">
      <c r="A351" s="16" t="s">
        <v>935</v>
      </c>
      <c r="B351" s="129" t="s">
        <v>796</v>
      </c>
      <c r="C351" s="130"/>
      <c r="D351" s="15" t="s">
        <v>1011</v>
      </c>
      <c r="E351" s="14" t="s">
        <v>1250</v>
      </c>
      <c r="F351" s="13" t="s">
        <v>2495</v>
      </c>
      <c r="G351" s="131" t="s">
        <v>134</v>
      </c>
      <c r="H351" s="132"/>
      <c r="I351" s="132"/>
      <c r="J351" s="132"/>
      <c r="K351" s="132"/>
      <c r="L351" s="132"/>
      <c r="M351" s="133"/>
    </row>
    <row r="352" spans="1:23" x14ac:dyDescent="0.15">
      <c r="A352" s="134" t="s">
        <v>977</v>
      </c>
      <c r="B352" s="136" t="s">
        <v>920</v>
      </c>
      <c r="C352" s="138" t="s">
        <v>1008</v>
      </c>
      <c r="D352" s="140" t="s">
        <v>1009</v>
      </c>
      <c r="E352" s="142" t="s">
        <v>2118</v>
      </c>
      <c r="F352" s="142" t="s">
        <v>1849</v>
      </c>
      <c r="G352" s="144" t="s">
        <v>994</v>
      </c>
      <c r="H352" s="145"/>
      <c r="I352" s="145"/>
      <c r="J352" s="146"/>
      <c r="K352" s="144" t="s">
        <v>982</v>
      </c>
      <c r="L352" s="145"/>
      <c r="M352" s="147"/>
    </row>
    <row r="353" spans="1:23" x14ac:dyDescent="0.15">
      <c r="A353" s="135"/>
      <c r="B353" s="137"/>
      <c r="C353" s="139"/>
      <c r="D353" s="141"/>
      <c r="E353" s="143"/>
      <c r="F353" s="143"/>
      <c r="G353" s="12" t="s">
        <v>1588</v>
      </c>
      <c r="H353" s="12" t="s">
        <v>1578</v>
      </c>
      <c r="I353" s="12" t="s">
        <v>1562</v>
      </c>
      <c r="J353" s="12" t="s">
        <v>1007</v>
      </c>
      <c r="K353" s="12" t="s">
        <v>1588</v>
      </c>
      <c r="L353" s="12" t="s">
        <v>1578</v>
      </c>
      <c r="M353" s="11" t="s">
        <v>1562</v>
      </c>
    </row>
    <row r="354" spans="1:23" ht="33.75" x14ac:dyDescent="0.15">
      <c r="A354" s="30" t="s">
        <v>1981</v>
      </c>
      <c r="B354" s="29" t="s">
        <v>1250</v>
      </c>
      <c r="C354" s="28" t="s">
        <v>1447</v>
      </c>
      <c r="D354" s="27" t="s">
        <v>1313</v>
      </c>
      <c r="E354" s="26" t="s">
        <v>90</v>
      </c>
      <c r="F354" s="26" t="s">
        <v>2669</v>
      </c>
      <c r="G354" s="7">
        <v>43091</v>
      </c>
      <c r="H354" s="6" t="s">
        <v>951</v>
      </c>
      <c r="I354" s="5" t="s">
        <v>1596</v>
      </c>
      <c r="J354" s="5"/>
      <c r="K354" s="7"/>
      <c r="L354" s="6"/>
      <c r="M354" s="5"/>
      <c r="Q354" s="3" t="b">
        <f t="shared" ref="Q354:Q367" si="237">IF($Q$6&gt;=G354,0)</f>
        <v>0</v>
      </c>
      <c r="R354" s="3">
        <f t="shared" ref="R354:R367" si="238">IF($R$6&gt;=G354,0)</f>
        <v>0</v>
      </c>
      <c r="S354" s="3">
        <f t="shared" ref="S354:S365" si="239">IF($S$6&gt;=G354,0)</f>
        <v>0</v>
      </c>
      <c r="T354" s="3">
        <f t="shared" ref="T354:T367" si="240">IF($T$6&gt;=G354,0)</f>
        <v>0</v>
      </c>
      <c r="U354" s="3">
        <f t="shared" ref="U354:U367" si="241">IF($U$6&gt;=G354,0)</f>
        <v>0</v>
      </c>
      <c r="V354" s="3">
        <f t="shared" ref="V354:V367" si="242">IF($V$6&gt;=G354,0)</f>
        <v>0</v>
      </c>
      <c r="W354">
        <f t="shared" ref="W354:W367" si="243">IF($W$6&gt;=G354,0)</f>
        <v>0</v>
      </c>
    </row>
    <row r="355" spans="1:23" ht="33.75" x14ac:dyDescent="0.15">
      <c r="A355" s="30" t="s">
        <v>2208</v>
      </c>
      <c r="B355" s="29" t="s">
        <v>643</v>
      </c>
      <c r="C355" s="28" t="s">
        <v>1447</v>
      </c>
      <c r="D355" s="27" t="s">
        <v>1236</v>
      </c>
      <c r="E355" s="26" t="s">
        <v>720</v>
      </c>
      <c r="F355" s="26" t="s">
        <v>2669</v>
      </c>
      <c r="G355" s="7">
        <v>43091</v>
      </c>
      <c r="H355" s="6" t="s">
        <v>951</v>
      </c>
      <c r="I355" s="5" t="s">
        <v>1596</v>
      </c>
      <c r="J355" s="5"/>
      <c r="K355" s="7"/>
      <c r="L355" s="6"/>
      <c r="M355" s="5"/>
      <c r="Q355" s="3" t="b">
        <f t="shared" si="237"/>
        <v>0</v>
      </c>
      <c r="R355" s="3">
        <f t="shared" si="238"/>
        <v>0</v>
      </c>
      <c r="S355" s="3">
        <f t="shared" si="239"/>
        <v>0</v>
      </c>
      <c r="T355" s="3">
        <f t="shared" si="240"/>
        <v>0</v>
      </c>
      <c r="U355" s="3">
        <f t="shared" si="241"/>
        <v>0</v>
      </c>
      <c r="V355" s="3">
        <f t="shared" si="242"/>
        <v>0</v>
      </c>
      <c r="W355">
        <f t="shared" si="243"/>
        <v>0</v>
      </c>
    </row>
    <row r="356" spans="1:23" ht="123.75" x14ac:dyDescent="0.15">
      <c r="A356" s="30" t="s">
        <v>2429</v>
      </c>
      <c r="B356" s="29" t="s">
        <v>1195</v>
      </c>
      <c r="C356" s="28" t="s">
        <v>1447</v>
      </c>
      <c r="D356" s="27" t="s">
        <v>878</v>
      </c>
      <c r="E356" s="26" t="s">
        <v>92</v>
      </c>
      <c r="F356" s="26" t="s">
        <v>342</v>
      </c>
      <c r="G356" s="7">
        <v>43091</v>
      </c>
      <c r="H356" s="6" t="s">
        <v>951</v>
      </c>
      <c r="I356" s="5" t="s">
        <v>1596</v>
      </c>
      <c r="J356" s="5"/>
      <c r="K356" s="7"/>
      <c r="L356" s="6"/>
      <c r="M356" s="5"/>
      <c r="Q356" s="3" t="b">
        <f t="shared" si="237"/>
        <v>0</v>
      </c>
      <c r="R356" s="3">
        <f t="shared" si="238"/>
        <v>0</v>
      </c>
      <c r="S356" s="3">
        <f t="shared" si="239"/>
        <v>0</v>
      </c>
      <c r="T356" s="3">
        <f t="shared" si="240"/>
        <v>0</v>
      </c>
      <c r="U356" s="3">
        <f t="shared" si="241"/>
        <v>0</v>
      </c>
      <c r="V356" s="3">
        <f t="shared" si="242"/>
        <v>0</v>
      </c>
      <c r="W356">
        <f t="shared" si="243"/>
        <v>0</v>
      </c>
    </row>
    <row r="357" spans="1:23" ht="112.5" x14ac:dyDescent="0.15">
      <c r="A357" s="30" t="s">
        <v>2383</v>
      </c>
      <c r="B357" s="29" t="s">
        <v>1166</v>
      </c>
      <c r="C357" s="28" t="s">
        <v>1447</v>
      </c>
      <c r="D357" s="27" t="s">
        <v>878</v>
      </c>
      <c r="E357" s="26" t="s">
        <v>92</v>
      </c>
      <c r="F357" s="26" t="s">
        <v>912</v>
      </c>
      <c r="G357" s="7">
        <v>43091</v>
      </c>
      <c r="H357" s="6" t="s">
        <v>951</v>
      </c>
      <c r="I357" s="5" t="s">
        <v>1596</v>
      </c>
      <c r="J357" s="5"/>
      <c r="K357" s="7"/>
      <c r="L357" s="6"/>
      <c r="M357" s="5"/>
      <c r="Q357" s="3" t="b">
        <f t="shared" si="237"/>
        <v>0</v>
      </c>
      <c r="R357" s="3">
        <f t="shared" si="238"/>
        <v>0</v>
      </c>
      <c r="S357" s="3">
        <f t="shared" si="239"/>
        <v>0</v>
      </c>
      <c r="T357" s="3">
        <f t="shared" si="240"/>
        <v>0</v>
      </c>
      <c r="U357" s="3">
        <f t="shared" si="241"/>
        <v>0</v>
      </c>
      <c r="V357" s="3">
        <f t="shared" si="242"/>
        <v>0</v>
      </c>
      <c r="W357">
        <f t="shared" si="243"/>
        <v>0</v>
      </c>
    </row>
    <row r="358" spans="1:23" ht="123.75" x14ac:dyDescent="0.15">
      <c r="A358" s="30" t="s">
        <v>1852</v>
      </c>
      <c r="B358" s="29" t="s">
        <v>173</v>
      </c>
      <c r="C358" s="28" t="s">
        <v>1447</v>
      </c>
      <c r="D358" s="27" t="s">
        <v>878</v>
      </c>
      <c r="E358" s="26" t="s">
        <v>92</v>
      </c>
      <c r="F358" s="26" t="s">
        <v>345</v>
      </c>
      <c r="G358" s="7">
        <v>43091</v>
      </c>
      <c r="H358" s="6" t="s">
        <v>951</v>
      </c>
      <c r="I358" s="5" t="s">
        <v>1596</v>
      </c>
      <c r="J358" s="5"/>
      <c r="K358" s="7"/>
      <c r="L358" s="6"/>
      <c r="M358" s="5"/>
      <c r="Q358" s="3" t="b">
        <f t="shared" si="237"/>
        <v>0</v>
      </c>
      <c r="R358" s="3">
        <f t="shared" si="238"/>
        <v>0</v>
      </c>
      <c r="S358" s="3">
        <f t="shared" si="239"/>
        <v>0</v>
      </c>
      <c r="T358" s="3">
        <f t="shared" si="240"/>
        <v>0</v>
      </c>
      <c r="U358" s="3">
        <f t="shared" si="241"/>
        <v>0</v>
      </c>
      <c r="V358" s="3">
        <f t="shared" si="242"/>
        <v>0</v>
      </c>
      <c r="W358">
        <f t="shared" si="243"/>
        <v>0</v>
      </c>
    </row>
    <row r="359" spans="1:23" ht="112.5" x14ac:dyDescent="0.15">
      <c r="A359" s="30" t="s">
        <v>1610</v>
      </c>
      <c r="B359" s="29" t="s">
        <v>188</v>
      </c>
      <c r="C359" s="28" t="s">
        <v>1447</v>
      </c>
      <c r="D359" s="27" t="s">
        <v>878</v>
      </c>
      <c r="E359" s="26" t="s">
        <v>92</v>
      </c>
      <c r="F359" s="26" t="s">
        <v>912</v>
      </c>
      <c r="G359" s="7">
        <v>43091</v>
      </c>
      <c r="H359" s="6" t="s">
        <v>951</v>
      </c>
      <c r="I359" s="5" t="s">
        <v>1596</v>
      </c>
      <c r="J359" s="5"/>
      <c r="K359" s="7"/>
      <c r="L359" s="6"/>
      <c r="M359" s="5"/>
      <c r="Q359" s="3" t="b">
        <f t="shared" si="237"/>
        <v>0</v>
      </c>
      <c r="R359" s="3">
        <f t="shared" si="238"/>
        <v>0</v>
      </c>
      <c r="S359" s="3">
        <f t="shared" si="239"/>
        <v>0</v>
      </c>
      <c r="T359" s="3">
        <f t="shared" si="240"/>
        <v>0</v>
      </c>
      <c r="U359" s="3">
        <f t="shared" si="241"/>
        <v>0</v>
      </c>
      <c r="V359" s="3">
        <f t="shared" si="242"/>
        <v>0</v>
      </c>
      <c r="W359">
        <f t="shared" si="243"/>
        <v>0</v>
      </c>
    </row>
    <row r="360" spans="1:23" ht="123.75" x14ac:dyDescent="0.15">
      <c r="A360" s="30" t="s">
        <v>2284</v>
      </c>
      <c r="B360" s="29" t="s">
        <v>146</v>
      </c>
      <c r="C360" s="28" t="s">
        <v>1447</v>
      </c>
      <c r="D360" s="27" t="s">
        <v>249</v>
      </c>
      <c r="E360" s="26" t="s">
        <v>726</v>
      </c>
      <c r="F360" s="26" t="s">
        <v>343</v>
      </c>
      <c r="G360" s="7">
        <v>43091</v>
      </c>
      <c r="H360" s="6" t="s">
        <v>951</v>
      </c>
      <c r="I360" s="5" t="s">
        <v>1596</v>
      </c>
      <c r="J360" s="5"/>
      <c r="K360" s="7"/>
      <c r="L360" s="6"/>
      <c r="M360" s="5"/>
      <c r="Q360" s="3" t="b">
        <f t="shared" si="237"/>
        <v>0</v>
      </c>
      <c r="R360" s="3">
        <f t="shared" si="238"/>
        <v>0</v>
      </c>
      <c r="S360" s="3">
        <f t="shared" si="239"/>
        <v>0</v>
      </c>
      <c r="T360" s="3">
        <f t="shared" si="240"/>
        <v>0</v>
      </c>
      <c r="U360" s="3">
        <f t="shared" si="241"/>
        <v>0</v>
      </c>
      <c r="V360" s="3">
        <f t="shared" si="242"/>
        <v>0</v>
      </c>
      <c r="W360">
        <f t="shared" si="243"/>
        <v>0</v>
      </c>
    </row>
    <row r="361" spans="1:23" ht="123.75" x14ac:dyDescent="0.15">
      <c r="A361" s="30" t="s">
        <v>2366</v>
      </c>
      <c r="B361" s="29" t="s">
        <v>233</v>
      </c>
      <c r="C361" s="28" t="s">
        <v>1447</v>
      </c>
      <c r="D361" s="27" t="s">
        <v>249</v>
      </c>
      <c r="E361" s="26" t="s">
        <v>726</v>
      </c>
      <c r="F361" s="26" t="s">
        <v>891</v>
      </c>
      <c r="G361" s="7">
        <v>43091</v>
      </c>
      <c r="H361" s="6" t="s">
        <v>951</v>
      </c>
      <c r="I361" s="5" t="s">
        <v>1596</v>
      </c>
      <c r="J361" s="5"/>
      <c r="K361" s="7"/>
      <c r="L361" s="6"/>
      <c r="M361" s="5"/>
      <c r="Q361" s="3" t="b">
        <f t="shared" si="237"/>
        <v>0</v>
      </c>
      <c r="R361" s="3">
        <f t="shared" si="238"/>
        <v>0</v>
      </c>
      <c r="S361" s="3">
        <f t="shared" si="239"/>
        <v>0</v>
      </c>
      <c r="T361" s="3">
        <f t="shared" si="240"/>
        <v>0</v>
      </c>
      <c r="U361" s="3">
        <f t="shared" si="241"/>
        <v>0</v>
      </c>
      <c r="V361" s="3">
        <f t="shared" si="242"/>
        <v>0</v>
      </c>
      <c r="W361">
        <f t="shared" si="243"/>
        <v>0</v>
      </c>
    </row>
    <row r="362" spans="1:23" ht="123.75" x14ac:dyDescent="0.15">
      <c r="A362" s="30" t="s">
        <v>1858</v>
      </c>
      <c r="B362" s="29" t="s">
        <v>177</v>
      </c>
      <c r="C362" s="28" t="s">
        <v>1447</v>
      </c>
      <c r="D362" s="27" t="s">
        <v>331</v>
      </c>
      <c r="E362" s="26" t="s">
        <v>711</v>
      </c>
      <c r="F362" s="26" t="s">
        <v>344</v>
      </c>
      <c r="G362" s="7">
        <v>43091</v>
      </c>
      <c r="H362" s="6" t="s">
        <v>951</v>
      </c>
      <c r="I362" s="5" t="s">
        <v>1596</v>
      </c>
      <c r="J362" s="5"/>
      <c r="K362" s="7"/>
      <c r="L362" s="6"/>
      <c r="M362" s="5"/>
      <c r="Q362" s="3" t="b">
        <f t="shared" si="237"/>
        <v>0</v>
      </c>
      <c r="R362" s="3">
        <f t="shared" si="238"/>
        <v>0</v>
      </c>
      <c r="S362" s="3">
        <f t="shared" si="239"/>
        <v>0</v>
      </c>
      <c r="T362" s="3">
        <f t="shared" si="240"/>
        <v>0</v>
      </c>
      <c r="U362" s="3">
        <f t="shared" si="241"/>
        <v>0</v>
      </c>
      <c r="V362" s="3">
        <f t="shared" si="242"/>
        <v>0</v>
      </c>
      <c r="W362">
        <f t="shared" si="243"/>
        <v>0</v>
      </c>
    </row>
    <row r="363" spans="1:23" ht="123.75" x14ac:dyDescent="0.15">
      <c r="A363" s="30" t="s">
        <v>2150</v>
      </c>
      <c r="B363" s="29" t="s">
        <v>332</v>
      </c>
      <c r="C363" s="28" t="s">
        <v>1447</v>
      </c>
      <c r="D363" s="27" t="s">
        <v>331</v>
      </c>
      <c r="E363" s="26" t="s">
        <v>711</v>
      </c>
      <c r="F363" s="26" t="s">
        <v>890</v>
      </c>
      <c r="G363" s="7">
        <v>43091</v>
      </c>
      <c r="H363" s="6" t="s">
        <v>951</v>
      </c>
      <c r="I363" s="5" t="s">
        <v>1596</v>
      </c>
      <c r="J363" s="5"/>
      <c r="K363" s="7"/>
      <c r="L363" s="6"/>
      <c r="M363" s="5"/>
      <c r="Q363" s="3" t="b">
        <f t="shared" si="237"/>
        <v>0</v>
      </c>
      <c r="R363" s="3">
        <f t="shared" si="238"/>
        <v>0</v>
      </c>
      <c r="S363" s="3">
        <f t="shared" si="239"/>
        <v>0</v>
      </c>
      <c r="T363" s="3">
        <f t="shared" si="240"/>
        <v>0</v>
      </c>
      <c r="U363" s="3">
        <f t="shared" si="241"/>
        <v>0</v>
      </c>
      <c r="V363" s="3">
        <f t="shared" si="242"/>
        <v>0</v>
      </c>
      <c r="W363">
        <f t="shared" si="243"/>
        <v>0</v>
      </c>
    </row>
    <row r="364" spans="1:23" ht="135" x14ac:dyDescent="0.15">
      <c r="A364" s="30" t="s">
        <v>2324</v>
      </c>
      <c r="B364" s="29" t="s">
        <v>314</v>
      </c>
      <c r="C364" s="28" t="s">
        <v>1447</v>
      </c>
      <c r="D364" s="27" t="s">
        <v>2689</v>
      </c>
      <c r="E364" s="26" t="s">
        <v>78</v>
      </c>
      <c r="F364" s="26" t="s">
        <v>911</v>
      </c>
      <c r="G364" s="7">
        <v>43091</v>
      </c>
      <c r="H364" s="6" t="s">
        <v>951</v>
      </c>
      <c r="I364" s="5" t="s">
        <v>1596</v>
      </c>
      <c r="J364" s="5"/>
      <c r="K364" s="7"/>
      <c r="L364" s="6"/>
      <c r="M364" s="5"/>
      <c r="Q364" s="3" t="b">
        <f t="shared" si="237"/>
        <v>0</v>
      </c>
      <c r="R364" s="3">
        <f t="shared" si="238"/>
        <v>0</v>
      </c>
      <c r="S364" s="3">
        <f t="shared" si="239"/>
        <v>0</v>
      </c>
      <c r="T364" s="3">
        <f t="shared" si="240"/>
        <v>0</v>
      </c>
      <c r="U364" s="3">
        <f t="shared" si="241"/>
        <v>0</v>
      </c>
      <c r="V364" s="3">
        <f t="shared" si="242"/>
        <v>0</v>
      </c>
      <c r="W364">
        <f t="shared" si="243"/>
        <v>0</v>
      </c>
    </row>
    <row r="365" spans="1:23" ht="123.75" x14ac:dyDescent="0.15">
      <c r="A365" s="30" t="s">
        <v>2083</v>
      </c>
      <c r="B365" s="29" t="s">
        <v>168</v>
      </c>
      <c r="C365" s="28" t="s">
        <v>1447</v>
      </c>
      <c r="D365" s="27" t="s">
        <v>2689</v>
      </c>
      <c r="E365" s="26" t="s">
        <v>78</v>
      </c>
      <c r="F365" s="26" t="s">
        <v>889</v>
      </c>
      <c r="G365" s="7">
        <v>43091</v>
      </c>
      <c r="H365" s="6" t="s">
        <v>951</v>
      </c>
      <c r="I365" s="5" t="s">
        <v>1596</v>
      </c>
      <c r="J365" s="5"/>
      <c r="K365" s="7"/>
      <c r="L365" s="6"/>
      <c r="M365" s="5"/>
      <c r="Q365" s="3" t="b">
        <f t="shared" si="237"/>
        <v>0</v>
      </c>
      <c r="R365" s="3">
        <f t="shared" si="238"/>
        <v>0</v>
      </c>
      <c r="S365" s="3">
        <f t="shared" si="239"/>
        <v>0</v>
      </c>
      <c r="T365" s="3">
        <f t="shared" si="240"/>
        <v>0</v>
      </c>
      <c r="U365" s="3">
        <f t="shared" si="241"/>
        <v>0</v>
      </c>
      <c r="V365" s="3">
        <f t="shared" si="242"/>
        <v>0</v>
      </c>
      <c r="W365">
        <f t="shared" si="243"/>
        <v>0</v>
      </c>
    </row>
    <row r="366" spans="1:23" ht="25.5" x14ac:dyDescent="0.15">
      <c r="A366" s="30" t="s">
        <v>2319</v>
      </c>
      <c r="B366" s="29" t="s">
        <v>144</v>
      </c>
      <c r="C366" s="28" t="s">
        <v>1447</v>
      </c>
      <c r="D366" s="27"/>
      <c r="E366" s="26"/>
      <c r="F366" s="26"/>
      <c r="G366" s="7">
        <v>43112</v>
      </c>
      <c r="H366" s="6"/>
      <c r="I366" s="5" t="s">
        <v>1596</v>
      </c>
      <c r="J366" s="38" t="s">
        <v>1017</v>
      </c>
      <c r="K366" s="7"/>
      <c r="L366" s="6"/>
      <c r="M366" s="5"/>
      <c r="N366" s="2" t="s">
        <v>1568</v>
      </c>
      <c r="Q366" s="3" t="b">
        <f t="shared" si="237"/>
        <v>0</v>
      </c>
      <c r="R366" s="3" t="b">
        <f t="shared" si="238"/>
        <v>0</v>
      </c>
      <c r="T366" s="3" t="b">
        <f t="shared" si="240"/>
        <v>0</v>
      </c>
      <c r="U366" s="3" t="b">
        <f t="shared" si="241"/>
        <v>0</v>
      </c>
      <c r="V366" s="3">
        <f t="shared" si="242"/>
        <v>0</v>
      </c>
      <c r="W366">
        <f t="shared" si="243"/>
        <v>0</v>
      </c>
    </row>
    <row r="367" spans="1:23" ht="25.5" x14ac:dyDescent="0.15">
      <c r="A367" s="30" t="s">
        <v>2087</v>
      </c>
      <c r="B367" s="29" t="s">
        <v>2675</v>
      </c>
      <c r="C367" s="28" t="s">
        <v>1447</v>
      </c>
      <c r="D367" s="27"/>
      <c r="E367" s="26"/>
      <c r="F367" s="26"/>
      <c r="G367" s="7">
        <v>43112</v>
      </c>
      <c r="H367" s="6"/>
      <c r="I367" s="5" t="s">
        <v>1596</v>
      </c>
      <c r="J367" s="38" t="s">
        <v>1017</v>
      </c>
      <c r="K367" s="7"/>
      <c r="L367" s="6"/>
      <c r="M367" s="5"/>
      <c r="N367" s="2" t="s">
        <v>1568</v>
      </c>
      <c r="Q367" s="3" t="b">
        <f t="shared" si="237"/>
        <v>0</v>
      </c>
      <c r="R367" s="3" t="b">
        <f t="shared" si="238"/>
        <v>0</v>
      </c>
      <c r="T367" s="3" t="b">
        <f t="shared" si="240"/>
        <v>0</v>
      </c>
      <c r="U367" s="3" t="b">
        <f t="shared" si="241"/>
        <v>0</v>
      </c>
      <c r="V367" s="3">
        <f t="shared" si="242"/>
        <v>0</v>
      </c>
      <c r="W367">
        <f t="shared" si="243"/>
        <v>0</v>
      </c>
    </row>
    <row r="368" spans="1:23" x14ac:dyDescent="0.15">
      <c r="A368" s="16" t="s">
        <v>935</v>
      </c>
      <c r="B368" s="129" t="s">
        <v>1493</v>
      </c>
      <c r="C368" s="130"/>
      <c r="D368" s="15" t="s">
        <v>1011</v>
      </c>
      <c r="E368" s="14" t="s">
        <v>2703</v>
      </c>
      <c r="F368" s="13" t="s">
        <v>2495</v>
      </c>
      <c r="G368" s="131" t="s">
        <v>626</v>
      </c>
      <c r="H368" s="132"/>
      <c r="I368" s="132"/>
      <c r="J368" s="132"/>
      <c r="K368" s="132"/>
      <c r="L368" s="132"/>
      <c r="M368" s="133"/>
    </row>
    <row r="369" spans="1:23" x14ac:dyDescent="0.15">
      <c r="A369" s="134" t="s">
        <v>977</v>
      </c>
      <c r="B369" s="136" t="s">
        <v>920</v>
      </c>
      <c r="C369" s="138" t="s">
        <v>1008</v>
      </c>
      <c r="D369" s="140" t="s">
        <v>1009</v>
      </c>
      <c r="E369" s="142" t="s">
        <v>2118</v>
      </c>
      <c r="F369" s="142" t="s">
        <v>1849</v>
      </c>
      <c r="G369" s="144" t="s">
        <v>994</v>
      </c>
      <c r="H369" s="145"/>
      <c r="I369" s="145"/>
      <c r="J369" s="146"/>
      <c r="K369" s="144" t="s">
        <v>982</v>
      </c>
      <c r="L369" s="145"/>
      <c r="M369" s="147"/>
    </row>
    <row r="370" spans="1:23" x14ac:dyDescent="0.15">
      <c r="A370" s="135"/>
      <c r="B370" s="137"/>
      <c r="C370" s="139"/>
      <c r="D370" s="141"/>
      <c r="E370" s="143"/>
      <c r="F370" s="143"/>
      <c r="G370" s="12" t="s">
        <v>1588</v>
      </c>
      <c r="H370" s="12" t="s">
        <v>1578</v>
      </c>
      <c r="I370" s="12" t="s">
        <v>1562</v>
      </c>
      <c r="J370" s="12" t="s">
        <v>1007</v>
      </c>
      <c r="K370" s="12" t="s">
        <v>1588</v>
      </c>
      <c r="L370" s="12" t="s">
        <v>1578</v>
      </c>
      <c r="M370" s="11" t="s">
        <v>1562</v>
      </c>
    </row>
    <row r="371" spans="1:23" ht="45" x14ac:dyDescent="0.15">
      <c r="A371" s="10" t="s">
        <v>1996</v>
      </c>
      <c r="B371" s="9" t="s">
        <v>2703</v>
      </c>
      <c r="C371" s="8" t="s">
        <v>1447</v>
      </c>
      <c r="D371" s="5" t="s">
        <v>948</v>
      </c>
      <c r="E371" s="4" t="s">
        <v>452</v>
      </c>
      <c r="F371" s="4" t="s">
        <v>1307</v>
      </c>
      <c r="G371" s="7">
        <v>43112</v>
      </c>
      <c r="H371" s="6" t="s">
        <v>951</v>
      </c>
      <c r="I371" s="5" t="s">
        <v>1573</v>
      </c>
      <c r="J371" s="5"/>
      <c r="K371" s="7"/>
      <c r="L371" s="6"/>
      <c r="M371" s="5"/>
      <c r="N371" s="2" t="s">
        <v>1568</v>
      </c>
      <c r="Q371" s="3" t="b">
        <f>IF($Q$6&gt;=G371,0)</f>
        <v>0</v>
      </c>
      <c r="R371" s="3" t="b">
        <f>IF($R$6&gt;=G371,0)</f>
        <v>0</v>
      </c>
      <c r="T371" s="3" t="b">
        <f>IF($T$6&gt;=G371,0)</f>
        <v>0</v>
      </c>
      <c r="U371" s="3" t="b">
        <f>IF($U$6&gt;=G371,0)</f>
        <v>0</v>
      </c>
      <c r="V371" s="3">
        <f>IF($V$6&gt;=G371,0)</f>
        <v>0</v>
      </c>
      <c r="W371">
        <f>IF($W$6&gt;=G371,0)</f>
        <v>0</v>
      </c>
    </row>
    <row r="372" spans="1:23" ht="22.5" x14ac:dyDescent="0.15">
      <c r="A372" s="16" t="s">
        <v>935</v>
      </c>
      <c r="B372" s="56" t="s">
        <v>1474</v>
      </c>
      <c r="C372" s="8"/>
      <c r="D372" s="15" t="s">
        <v>1011</v>
      </c>
      <c r="E372" s="14" t="s">
        <v>1204</v>
      </c>
      <c r="F372" s="13" t="s">
        <v>2495</v>
      </c>
      <c r="G372" s="63" t="s">
        <v>563</v>
      </c>
      <c r="H372" s="6"/>
      <c r="I372" s="5"/>
      <c r="J372" s="5"/>
      <c r="K372" s="7"/>
      <c r="L372" s="6"/>
      <c r="M372" s="5"/>
    </row>
    <row r="373" spans="1:23" x14ac:dyDescent="0.15">
      <c r="A373" s="58" t="s">
        <v>977</v>
      </c>
      <c r="B373" s="59" t="s">
        <v>920</v>
      </c>
      <c r="C373" s="60" t="s">
        <v>1008</v>
      </c>
      <c r="D373" s="61" t="s">
        <v>1009</v>
      </c>
      <c r="E373" s="62" t="s">
        <v>2118</v>
      </c>
      <c r="F373" s="62" t="s">
        <v>1849</v>
      </c>
      <c r="G373" s="57" t="s">
        <v>994</v>
      </c>
      <c r="H373" s="6"/>
      <c r="I373" s="5"/>
      <c r="J373" s="5"/>
      <c r="K373" s="57" t="s">
        <v>982</v>
      </c>
      <c r="L373" s="6"/>
      <c r="M373" s="5"/>
    </row>
    <row r="374" spans="1:23" ht="45" x14ac:dyDescent="0.15">
      <c r="A374" s="10" t="s">
        <v>2084</v>
      </c>
      <c r="B374" s="9" t="s">
        <v>81</v>
      </c>
      <c r="C374" s="8" t="s">
        <v>1447</v>
      </c>
      <c r="D374" s="5" t="s">
        <v>976</v>
      </c>
      <c r="E374" s="4" t="s">
        <v>369</v>
      </c>
      <c r="F374" s="4" t="s">
        <v>470</v>
      </c>
      <c r="G374" s="7">
        <v>43091</v>
      </c>
      <c r="H374" s="6" t="s">
        <v>951</v>
      </c>
      <c r="I374" s="5" t="s">
        <v>1573</v>
      </c>
      <c r="J374" s="5"/>
      <c r="K374" s="7"/>
      <c r="L374" s="6"/>
      <c r="M374" s="5"/>
      <c r="Q374" s="3" t="b">
        <f t="shared" ref="Q374:Q377" si="244">IF($Q$6&gt;=G374,0)</f>
        <v>0</v>
      </c>
      <c r="R374" s="3">
        <f t="shared" ref="R374:R377" si="245">IF($R$6&gt;=G374,0)</f>
        <v>0</v>
      </c>
      <c r="S374" s="3">
        <f t="shared" ref="S374:S375" si="246">IF($S$6&gt;=G374,0)</f>
        <v>0</v>
      </c>
      <c r="T374" s="3">
        <f t="shared" ref="T374:T377" si="247">IF($T$6&gt;=G374,0)</f>
        <v>0</v>
      </c>
      <c r="U374" s="3">
        <f t="shared" ref="U374:U377" si="248">IF($U$6&gt;=G374,0)</f>
        <v>0</v>
      </c>
      <c r="V374" s="3">
        <f t="shared" ref="V374:V377" si="249">IF($V$6&gt;=G374,0)</f>
        <v>0</v>
      </c>
      <c r="W374">
        <f t="shared" ref="W374:W377" si="250">IF($W$6&gt;=G374,0)</f>
        <v>0</v>
      </c>
    </row>
    <row r="375" spans="1:23" ht="45" x14ac:dyDescent="0.15">
      <c r="A375" s="10" t="s">
        <v>2514</v>
      </c>
      <c r="B375" s="9" t="s">
        <v>136</v>
      </c>
      <c r="C375" s="8" t="s">
        <v>1447</v>
      </c>
      <c r="D375" s="5" t="s">
        <v>1013</v>
      </c>
      <c r="E375" s="4" t="s">
        <v>102</v>
      </c>
      <c r="F375" s="4" t="s">
        <v>483</v>
      </c>
      <c r="G375" s="7">
        <v>43091</v>
      </c>
      <c r="H375" s="6" t="s">
        <v>951</v>
      </c>
      <c r="I375" s="5" t="s">
        <v>1573</v>
      </c>
      <c r="J375" s="5"/>
      <c r="K375" s="7"/>
      <c r="L375" s="6"/>
      <c r="M375" s="5"/>
      <c r="Q375" s="3" t="b">
        <f t="shared" si="244"/>
        <v>0</v>
      </c>
      <c r="R375" s="3">
        <f t="shared" si="245"/>
        <v>0</v>
      </c>
      <c r="S375" s="3">
        <f t="shared" si="246"/>
        <v>0</v>
      </c>
      <c r="T375" s="3">
        <f t="shared" si="247"/>
        <v>0</v>
      </c>
      <c r="U375" s="3">
        <f t="shared" si="248"/>
        <v>0</v>
      </c>
      <c r="V375" s="3">
        <f t="shared" si="249"/>
        <v>0</v>
      </c>
      <c r="W375">
        <f t="shared" si="250"/>
        <v>0</v>
      </c>
    </row>
    <row r="376" spans="1:23" ht="45" x14ac:dyDescent="0.15">
      <c r="A376" s="10" t="s">
        <v>2177</v>
      </c>
      <c r="B376" s="9" t="s">
        <v>861</v>
      </c>
      <c r="C376" s="8" t="s">
        <v>1447</v>
      </c>
      <c r="D376" s="5" t="s">
        <v>976</v>
      </c>
      <c r="E376" s="4" t="s">
        <v>459</v>
      </c>
      <c r="F376" s="4" t="s">
        <v>359</v>
      </c>
      <c r="G376" s="7">
        <v>43112</v>
      </c>
      <c r="H376" s="6" t="s">
        <v>951</v>
      </c>
      <c r="I376" s="31" t="s">
        <v>1573</v>
      </c>
      <c r="J376" s="5"/>
      <c r="K376" s="7"/>
      <c r="L376" s="6"/>
      <c r="M376" s="5"/>
      <c r="N376" s="2" t="s">
        <v>1568</v>
      </c>
      <c r="Q376" s="3" t="b">
        <f t="shared" si="244"/>
        <v>0</v>
      </c>
      <c r="R376" s="3" t="b">
        <f t="shared" si="245"/>
        <v>0</v>
      </c>
      <c r="T376" s="3" t="b">
        <f t="shared" si="247"/>
        <v>0</v>
      </c>
      <c r="U376" s="3" t="b">
        <f t="shared" si="248"/>
        <v>0</v>
      </c>
      <c r="V376" s="3">
        <f t="shared" si="249"/>
        <v>0</v>
      </c>
      <c r="W376">
        <f t="shared" si="250"/>
        <v>0</v>
      </c>
    </row>
    <row r="377" spans="1:23" ht="33.75" x14ac:dyDescent="0.15">
      <c r="A377" s="10" t="s">
        <v>2201</v>
      </c>
      <c r="B377" s="9" t="s">
        <v>853</v>
      </c>
      <c r="C377" s="8" t="s">
        <v>1447</v>
      </c>
      <c r="D377" s="5" t="s">
        <v>976</v>
      </c>
      <c r="E377" s="4" t="s">
        <v>2642</v>
      </c>
      <c r="F377" s="4" t="s">
        <v>131</v>
      </c>
      <c r="G377" s="7">
        <v>43091</v>
      </c>
      <c r="H377" s="6" t="s">
        <v>951</v>
      </c>
      <c r="I377" s="5" t="s">
        <v>1573</v>
      </c>
      <c r="J377" s="5"/>
      <c r="K377" s="7"/>
      <c r="L377" s="6"/>
      <c r="M377" s="5"/>
      <c r="Q377" s="3" t="b">
        <f t="shared" si="244"/>
        <v>0</v>
      </c>
      <c r="R377" s="3">
        <f t="shared" si="245"/>
        <v>0</v>
      </c>
      <c r="S377" s="3">
        <f>IF($S$6&gt;=G377,0)</f>
        <v>0</v>
      </c>
      <c r="T377" s="3">
        <f t="shared" si="247"/>
        <v>0</v>
      </c>
      <c r="U377" s="3">
        <f t="shared" si="248"/>
        <v>0</v>
      </c>
      <c r="V377" s="3">
        <f t="shared" si="249"/>
        <v>0</v>
      </c>
      <c r="W377">
        <f t="shared" si="250"/>
        <v>0</v>
      </c>
    </row>
    <row r="378" spans="1:23" ht="22.5" x14ac:dyDescent="0.15">
      <c r="A378" s="16" t="s">
        <v>935</v>
      </c>
      <c r="B378" s="56" t="s">
        <v>539</v>
      </c>
      <c r="C378" s="8"/>
      <c r="D378" s="15" t="s">
        <v>1011</v>
      </c>
      <c r="E378" s="14" t="s">
        <v>1254</v>
      </c>
      <c r="F378" s="13" t="s">
        <v>2495</v>
      </c>
      <c r="G378" s="63" t="s">
        <v>563</v>
      </c>
      <c r="H378" s="6"/>
      <c r="I378" s="5"/>
      <c r="J378" s="5"/>
      <c r="K378" s="7"/>
      <c r="L378" s="6"/>
      <c r="M378" s="5"/>
    </row>
    <row r="379" spans="1:23" x14ac:dyDescent="0.15">
      <c r="A379" s="58" t="s">
        <v>977</v>
      </c>
      <c r="B379" s="59" t="s">
        <v>920</v>
      </c>
      <c r="C379" s="60" t="s">
        <v>1008</v>
      </c>
      <c r="D379" s="61" t="s">
        <v>1009</v>
      </c>
      <c r="E379" s="62" t="s">
        <v>2118</v>
      </c>
      <c r="F379" s="62" t="s">
        <v>1849</v>
      </c>
      <c r="G379" s="57" t="s">
        <v>994</v>
      </c>
      <c r="H379" s="6"/>
      <c r="I379" s="5"/>
      <c r="J379" s="5"/>
      <c r="K379" s="57" t="s">
        <v>982</v>
      </c>
      <c r="L379" s="6"/>
      <c r="M379" s="5"/>
    </row>
    <row r="380" spans="1:23" x14ac:dyDescent="0.15">
      <c r="A380" s="35"/>
      <c r="B380" s="59"/>
      <c r="C380" s="60"/>
      <c r="D380" s="61"/>
      <c r="E380" s="62"/>
      <c r="F380" s="62"/>
      <c r="G380" s="12" t="s">
        <v>1588</v>
      </c>
      <c r="H380" s="12" t="s">
        <v>1578</v>
      </c>
      <c r="I380" s="12" t="s">
        <v>1562</v>
      </c>
      <c r="J380" s="12" t="s">
        <v>1007</v>
      </c>
      <c r="K380" s="12" t="s">
        <v>1588</v>
      </c>
      <c r="L380" s="12" t="s">
        <v>1578</v>
      </c>
      <c r="M380" s="11" t="s">
        <v>1562</v>
      </c>
    </row>
    <row r="381" spans="1:23" ht="33.75" x14ac:dyDescent="0.15">
      <c r="A381" s="10" t="s">
        <v>2149</v>
      </c>
      <c r="B381" s="9" t="s">
        <v>1254</v>
      </c>
      <c r="C381" s="8" t="s">
        <v>1447</v>
      </c>
      <c r="D381" s="5" t="s">
        <v>971</v>
      </c>
      <c r="E381" s="4" t="s">
        <v>98</v>
      </c>
      <c r="F381" s="4" t="s">
        <v>2633</v>
      </c>
      <c r="G381" s="7">
        <v>43112</v>
      </c>
      <c r="H381" s="6" t="s">
        <v>951</v>
      </c>
      <c r="I381" s="31" t="s">
        <v>1573</v>
      </c>
      <c r="J381" s="5"/>
      <c r="K381" s="7"/>
      <c r="L381" s="6"/>
      <c r="M381" s="5"/>
      <c r="N381" s="2" t="s">
        <v>1568</v>
      </c>
      <c r="Q381" s="3" t="b">
        <f t="shared" ref="Q381:Q382" si="251">IF($Q$6&gt;=G381,0)</f>
        <v>0</v>
      </c>
      <c r="R381" s="3" t="b">
        <f t="shared" ref="R381:R382" si="252">IF($R$6&gt;=G381,0)</f>
        <v>0</v>
      </c>
      <c r="T381" s="3" t="b">
        <f t="shared" ref="T381:T382" si="253">IF($T$6&gt;=G381,0)</f>
        <v>0</v>
      </c>
      <c r="U381" s="3" t="b">
        <f t="shared" ref="U381:U382" si="254">IF($U$6&gt;=G381,0)</f>
        <v>0</v>
      </c>
      <c r="V381" s="3">
        <f t="shared" ref="V381:V382" si="255">IF($V$6&gt;=G381,0)</f>
        <v>0</v>
      </c>
      <c r="W381">
        <f t="shared" ref="W381:W382" si="256">IF($W$6&gt;=G381,0)</f>
        <v>0</v>
      </c>
    </row>
    <row r="382" spans="1:23" ht="33.75" x14ac:dyDescent="0.15">
      <c r="A382" s="10" t="s">
        <v>2186</v>
      </c>
      <c r="B382" s="9" t="s">
        <v>1193</v>
      </c>
      <c r="C382" s="8" t="s">
        <v>1447</v>
      </c>
      <c r="D382" s="5" t="s">
        <v>976</v>
      </c>
      <c r="E382" s="4" t="s">
        <v>484</v>
      </c>
      <c r="F382" s="4" t="s">
        <v>1155</v>
      </c>
      <c r="G382" s="25">
        <v>43121</v>
      </c>
      <c r="H382" s="6"/>
      <c r="I382" s="7" t="s">
        <v>1563</v>
      </c>
      <c r="J382" s="5"/>
      <c r="K382" s="7"/>
      <c r="L382" s="6"/>
      <c r="M382" s="5"/>
      <c r="N382" s="2" t="s">
        <v>1565</v>
      </c>
      <c r="Q382" s="3" t="b">
        <f t="shared" si="251"/>
        <v>0</v>
      </c>
      <c r="R382" s="3" t="b">
        <f t="shared" si="252"/>
        <v>0</v>
      </c>
      <c r="T382" s="3" t="b">
        <f t="shared" si="253"/>
        <v>0</v>
      </c>
      <c r="U382" s="3" t="b">
        <f t="shared" si="254"/>
        <v>0</v>
      </c>
      <c r="V382" s="3" t="b">
        <f t="shared" si="255"/>
        <v>0</v>
      </c>
      <c r="W382">
        <f t="shared" si="256"/>
        <v>0</v>
      </c>
    </row>
    <row r="383" spans="1:23" ht="22.5" x14ac:dyDescent="0.15">
      <c r="A383" s="16" t="s">
        <v>935</v>
      </c>
      <c r="B383" s="56" t="s">
        <v>39</v>
      </c>
      <c r="C383" s="8"/>
      <c r="D383" s="15" t="s">
        <v>1011</v>
      </c>
      <c r="E383" s="14" t="s">
        <v>601</v>
      </c>
      <c r="F383" s="13" t="s">
        <v>2495</v>
      </c>
      <c r="G383" s="63" t="s">
        <v>563</v>
      </c>
      <c r="H383" s="6"/>
      <c r="I383" s="5"/>
      <c r="J383" s="5"/>
      <c r="K383" s="7"/>
      <c r="L383" s="6"/>
      <c r="M383" s="5"/>
    </row>
    <row r="384" spans="1:23" x14ac:dyDescent="0.15">
      <c r="A384" s="58" t="s">
        <v>977</v>
      </c>
      <c r="B384" s="59" t="s">
        <v>920</v>
      </c>
      <c r="C384" s="60" t="s">
        <v>1008</v>
      </c>
      <c r="D384" s="61" t="s">
        <v>1009</v>
      </c>
      <c r="E384" s="62" t="s">
        <v>2118</v>
      </c>
      <c r="F384" s="62" t="s">
        <v>1849</v>
      </c>
      <c r="G384" s="57" t="s">
        <v>994</v>
      </c>
      <c r="H384" s="6"/>
      <c r="I384" s="5"/>
      <c r="J384" s="5"/>
      <c r="K384" s="57" t="s">
        <v>982</v>
      </c>
      <c r="L384" s="6"/>
      <c r="M384" s="5"/>
    </row>
    <row r="385" spans="1:23" x14ac:dyDescent="0.15">
      <c r="A385" s="35"/>
      <c r="B385" s="59"/>
      <c r="C385" s="60"/>
      <c r="D385" s="61"/>
      <c r="E385" s="62"/>
      <c r="F385" s="62"/>
      <c r="G385" s="12" t="s">
        <v>1588</v>
      </c>
      <c r="H385" s="12" t="s">
        <v>1578</v>
      </c>
      <c r="I385" s="12" t="s">
        <v>1562</v>
      </c>
      <c r="J385" s="12" t="s">
        <v>1007</v>
      </c>
      <c r="K385" s="12" t="s">
        <v>1588</v>
      </c>
      <c r="L385" s="12" t="s">
        <v>1578</v>
      </c>
      <c r="M385" s="11" t="s">
        <v>1562</v>
      </c>
    </row>
    <row r="386" spans="1:23" ht="25.5" x14ac:dyDescent="0.15">
      <c r="A386" s="10" t="s">
        <v>1798</v>
      </c>
      <c r="B386" s="9" t="s">
        <v>1542</v>
      </c>
      <c r="C386" s="8" t="s">
        <v>1447</v>
      </c>
      <c r="D386" s="4"/>
      <c r="E386" s="4" t="s">
        <v>1284</v>
      </c>
      <c r="F386" s="4" t="s">
        <v>1086</v>
      </c>
      <c r="G386" s="7">
        <v>43098</v>
      </c>
      <c r="H386" s="6" t="s">
        <v>951</v>
      </c>
      <c r="I386" s="7" t="s">
        <v>1579</v>
      </c>
      <c r="J386" s="5" t="s">
        <v>599</v>
      </c>
      <c r="K386" s="7"/>
      <c r="L386" s="6"/>
      <c r="M386" s="5"/>
      <c r="Q386" s="3" t="b">
        <f t="shared" ref="Q386:Q389" si="257">IF($Q$6&gt;=G386,0)</f>
        <v>0</v>
      </c>
      <c r="R386" s="3" t="b">
        <f t="shared" ref="R386:R389" si="258">IF($R$6&gt;=G386,0)</f>
        <v>0</v>
      </c>
      <c r="S386" s="3">
        <f t="shared" ref="S386:S389" si="259">IF($S$6&gt;=G386,0)</f>
        <v>0</v>
      </c>
      <c r="T386" s="3">
        <f t="shared" ref="T386:T389" si="260">IF($T$6&gt;=G386,0)</f>
        <v>0</v>
      </c>
      <c r="U386" s="3">
        <f t="shared" ref="U386:U389" si="261">IF($U$6&gt;=G386,0)</f>
        <v>0</v>
      </c>
      <c r="V386" s="3">
        <f t="shared" ref="V386:V389" si="262">IF($V$6&gt;=G386,0)</f>
        <v>0</v>
      </c>
      <c r="W386">
        <f t="shared" ref="W386:W389" si="263">IF($W$6&gt;=G386,0)</f>
        <v>0</v>
      </c>
    </row>
    <row r="387" spans="1:23" ht="45" x14ac:dyDescent="0.15">
      <c r="A387" s="10" t="s">
        <v>2513</v>
      </c>
      <c r="B387" s="9" t="s">
        <v>855</v>
      </c>
      <c r="C387" s="8" t="s">
        <v>1447</v>
      </c>
      <c r="D387" s="5" t="s">
        <v>976</v>
      </c>
      <c r="E387" s="4" t="s">
        <v>507</v>
      </c>
      <c r="F387" s="4" t="s">
        <v>470</v>
      </c>
      <c r="G387" s="7">
        <v>43105</v>
      </c>
      <c r="H387" s="6" t="s">
        <v>951</v>
      </c>
      <c r="I387" s="5" t="s">
        <v>1573</v>
      </c>
      <c r="J387" s="5" t="s">
        <v>599</v>
      </c>
      <c r="K387" s="7"/>
      <c r="L387" s="6"/>
      <c r="M387" s="5"/>
      <c r="N387" s="2" t="s">
        <v>1568</v>
      </c>
      <c r="Q387" s="3" t="b">
        <f t="shared" si="257"/>
        <v>0</v>
      </c>
      <c r="R387" s="3" t="b">
        <f t="shared" si="258"/>
        <v>0</v>
      </c>
      <c r="S387" s="3" t="b">
        <f t="shared" si="259"/>
        <v>0</v>
      </c>
      <c r="T387" s="3" t="b">
        <f t="shared" si="260"/>
        <v>0</v>
      </c>
      <c r="U387" s="3">
        <f t="shared" si="261"/>
        <v>0</v>
      </c>
      <c r="V387" s="3">
        <f t="shared" si="262"/>
        <v>0</v>
      </c>
      <c r="W387">
        <f t="shared" si="263"/>
        <v>0</v>
      </c>
    </row>
    <row r="388" spans="1:23" ht="45" x14ac:dyDescent="0.15">
      <c r="A388" s="10" t="s">
        <v>2213</v>
      </c>
      <c r="B388" s="9" t="s">
        <v>1463</v>
      </c>
      <c r="C388" s="8" t="s">
        <v>1447</v>
      </c>
      <c r="D388" s="5" t="s">
        <v>1013</v>
      </c>
      <c r="E388" s="4" t="s">
        <v>102</v>
      </c>
      <c r="F388" s="4" t="s">
        <v>483</v>
      </c>
      <c r="G388" s="7">
        <v>43105</v>
      </c>
      <c r="H388" s="6" t="s">
        <v>951</v>
      </c>
      <c r="I388" s="5" t="s">
        <v>1573</v>
      </c>
      <c r="J388" s="5" t="s">
        <v>599</v>
      </c>
      <c r="K388" s="7"/>
      <c r="L388" s="6"/>
      <c r="M388" s="5"/>
      <c r="N388" s="2" t="s">
        <v>1568</v>
      </c>
      <c r="Q388" s="3" t="b">
        <f t="shared" si="257"/>
        <v>0</v>
      </c>
      <c r="R388" s="3" t="b">
        <f t="shared" si="258"/>
        <v>0</v>
      </c>
      <c r="S388" s="3" t="b">
        <f t="shared" si="259"/>
        <v>0</v>
      </c>
      <c r="T388" s="3" t="b">
        <f t="shared" si="260"/>
        <v>0</v>
      </c>
      <c r="U388" s="3">
        <f t="shared" si="261"/>
        <v>0</v>
      </c>
      <c r="V388" s="3">
        <f t="shared" si="262"/>
        <v>0</v>
      </c>
      <c r="W388">
        <f t="shared" si="263"/>
        <v>0</v>
      </c>
    </row>
    <row r="389" spans="1:23" ht="33.75" x14ac:dyDescent="0.15">
      <c r="A389" s="10" t="s">
        <v>2493</v>
      </c>
      <c r="B389" s="9" t="s">
        <v>606</v>
      </c>
      <c r="C389" s="8" t="s">
        <v>1447</v>
      </c>
      <c r="D389" s="5" t="s">
        <v>976</v>
      </c>
      <c r="E389" s="4" t="s">
        <v>2642</v>
      </c>
      <c r="F389" s="4" t="s">
        <v>131</v>
      </c>
      <c r="G389" s="7">
        <v>43105</v>
      </c>
      <c r="H389" s="6" t="s">
        <v>951</v>
      </c>
      <c r="I389" s="5" t="s">
        <v>1573</v>
      </c>
      <c r="J389" s="5" t="s">
        <v>599</v>
      </c>
      <c r="K389" s="7"/>
      <c r="L389" s="6"/>
      <c r="M389" s="5"/>
      <c r="N389" s="2" t="s">
        <v>1568</v>
      </c>
      <c r="Q389" s="3" t="b">
        <f t="shared" si="257"/>
        <v>0</v>
      </c>
      <c r="R389" s="3" t="b">
        <f t="shared" si="258"/>
        <v>0</v>
      </c>
      <c r="S389" s="3" t="b">
        <f t="shared" si="259"/>
        <v>0</v>
      </c>
      <c r="T389" s="3" t="b">
        <f t="shared" si="260"/>
        <v>0</v>
      </c>
      <c r="U389" s="3">
        <f t="shared" si="261"/>
        <v>0</v>
      </c>
      <c r="V389" s="3">
        <f t="shared" si="262"/>
        <v>0</v>
      </c>
      <c r="W389">
        <f t="shared" si="263"/>
        <v>0</v>
      </c>
    </row>
    <row r="390" spans="1:23" x14ac:dyDescent="0.15">
      <c r="A390" s="16" t="s">
        <v>935</v>
      </c>
      <c r="B390" s="129" t="s">
        <v>1494</v>
      </c>
      <c r="C390" s="130"/>
      <c r="D390" s="15" t="s">
        <v>1011</v>
      </c>
      <c r="E390" s="14" t="s">
        <v>341</v>
      </c>
      <c r="F390" s="13" t="s">
        <v>2495</v>
      </c>
      <c r="G390" s="131" t="s">
        <v>563</v>
      </c>
      <c r="H390" s="132"/>
      <c r="I390" s="132"/>
      <c r="J390" s="132"/>
      <c r="K390" s="132"/>
      <c r="L390" s="132"/>
      <c r="M390" s="133"/>
    </row>
    <row r="391" spans="1:23" x14ac:dyDescent="0.15">
      <c r="A391" s="134" t="s">
        <v>977</v>
      </c>
      <c r="B391" s="136" t="s">
        <v>920</v>
      </c>
      <c r="C391" s="138" t="s">
        <v>1008</v>
      </c>
      <c r="D391" s="140" t="s">
        <v>1009</v>
      </c>
      <c r="E391" s="142" t="s">
        <v>2118</v>
      </c>
      <c r="F391" s="142" t="s">
        <v>1849</v>
      </c>
      <c r="G391" s="144" t="s">
        <v>994</v>
      </c>
      <c r="H391" s="145"/>
      <c r="I391" s="145"/>
      <c r="J391" s="146"/>
      <c r="K391" s="144" t="s">
        <v>982</v>
      </c>
      <c r="L391" s="145"/>
      <c r="M391" s="147"/>
    </row>
    <row r="392" spans="1:23" x14ac:dyDescent="0.15">
      <c r="A392" s="135"/>
      <c r="B392" s="137"/>
      <c r="C392" s="139"/>
      <c r="D392" s="141"/>
      <c r="E392" s="143"/>
      <c r="F392" s="143"/>
      <c r="G392" s="12" t="s">
        <v>1588</v>
      </c>
      <c r="H392" s="12" t="s">
        <v>1578</v>
      </c>
      <c r="I392" s="12" t="s">
        <v>1562</v>
      </c>
      <c r="J392" s="12" t="s">
        <v>1007</v>
      </c>
      <c r="K392" s="12" t="s">
        <v>1588</v>
      </c>
      <c r="L392" s="12" t="s">
        <v>1578</v>
      </c>
      <c r="M392" s="11" t="s">
        <v>1562</v>
      </c>
    </row>
    <row r="393" spans="1:23" ht="56.25" x14ac:dyDescent="0.15">
      <c r="A393" s="10" t="s">
        <v>1851</v>
      </c>
      <c r="B393" s="9" t="s">
        <v>266</v>
      </c>
      <c r="C393" s="8" t="s">
        <v>1447</v>
      </c>
      <c r="D393" s="37" t="s">
        <v>488</v>
      </c>
      <c r="E393" s="4" t="s">
        <v>448</v>
      </c>
      <c r="F393" s="4" t="s">
        <v>409</v>
      </c>
      <c r="G393" s="7">
        <v>43091</v>
      </c>
      <c r="H393" s="6" t="s">
        <v>951</v>
      </c>
      <c r="I393" s="5" t="s">
        <v>1597</v>
      </c>
      <c r="J393" s="5"/>
      <c r="K393" s="7"/>
      <c r="L393" s="6"/>
      <c r="M393" s="5"/>
      <c r="Q393" s="3" t="b">
        <f t="shared" ref="Q393:Q396" si="264">IF($Q$6&gt;=G393,0)</f>
        <v>0</v>
      </c>
      <c r="R393" s="3">
        <f t="shared" ref="R393:R396" si="265">IF($R$6&gt;=G393,0)</f>
        <v>0</v>
      </c>
      <c r="S393" s="3">
        <f t="shared" ref="S393:S395" si="266">IF($S$6&gt;=G393,0)</f>
        <v>0</v>
      </c>
      <c r="T393" s="3">
        <f t="shared" ref="T393:T396" si="267">IF($T$6&gt;=G393,0)</f>
        <v>0</v>
      </c>
      <c r="U393" s="3">
        <f t="shared" ref="U393:U396" si="268">IF($U$6&gt;=G393,0)</f>
        <v>0</v>
      </c>
      <c r="V393" s="3">
        <f t="shared" ref="V393:V396" si="269">IF($V$6&gt;=G393,0)</f>
        <v>0</v>
      </c>
      <c r="W393">
        <f t="shared" ref="W393:W396" si="270">IF($W$6&gt;=G393,0)</f>
        <v>0</v>
      </c>
    </row>
    <row r="394" spans="1:23" ht="33.75" x14ac:dyDescent="0.15">
      <c r="A394" s="10" t="s">
        <v>2179</v>
      </c>
      <c r="B394" s="9" t="s">
        <v>1182</v>
      </c>
      <c r="C394" s="8" t="s">
        <v>1447</v>
      </c>
      <c r="D394" s="5"/>
      <c r="E394" s="4" t="s">
        <v>410</v>
      </c>
      <c r="F394" s="4" t="s">
        <v>122</v>
      </c>
      <c r="G394" s="7">
        <v>43091</v>
      </c>
      <c r="H394" s="6" t="s">
        <v>951</v>
      </c>
      <c r="I394" s="5" t="s">
        <v>1597</v>
      </c>
      <c r="J394" s="5"/>
      <c r="K394" s="7"/>
      <c r="L394" s="6"/>
      <c r="M394" s="5"/>
      <c r="Q394" s="3" t="b">
        <f t="shared" si="264"/>
        <v>0</v>
      </c>
      <c r="R394" s="3">
        <f t="shared" si="265"/>
        <v>0</v>
      </c>
      <c r="S394" s="3">
        <f t="shared" si="266"/>
        <v>0</v>
      </c>
      <c r="T394" s="3">
        <f t="shared" si="267"/>
        <v>0</v>
      </c>
      <c r="U394" s="3">
        <f t="shared" si="268"/>
        <v>0</v>
      </c>
      <c r="V394" s="3">
        <f t="shared" si="269"/>
        <v>0</v>
      </c>
      <c r="W394">
        <f t="shared" si="270"/>
        <v>0</v>
      </c>
    </row>
    <row r="395" spans="1:23" ht="25.5" x14ac:dyDescent="0.15">
      <c r="A395" s="10" t="s">
        <v>2103</v>
      </c>
      <c r="B395" s="9" t="s">
        <v>1031</v>
      </c>
      <c r="C395" s="8" t="s">
        <v>1447</v>
      </c>
      <c r="D395" s="5"/>
      <c r="E395" s="4" t="s">
        <v>299</v>
      </c>
      <c r="F395" s="4" t="s">
        <v>2487</v>
      </c>
      <c r="G395" s="7">
        <v>43091</v>
      </c>
      <c r="H395" s="6" t="s">
        <v>951</v>
      </c>
      <c r="I395" s="5" t="s">
        <v>1597</v>
      </c>
      <c r="J395" s="5"/>
      <c r="K395" s="7"/>
      <c r="L395" s="6"/>
      <c r="M395" s="5"/>
      <c r="Q395" s="3" t="b">
        <f t="shared" si="264"/>
        <v>0</v>
      </c>
      <c r="R395" s="3">
        <f t="shared" si="265"/>
        <v>0</v>
      </c>
      <c r="S395" s="3">
        <f t="shared" si="266"/>
        <v>0</v>
      </c>
      <c r="T395" s="3">
        <f t="shared" si="267"/>
        <v>0</v>
      </c>
      <c r="U395" s="3">
        <f t="shared" si="268"/>
        <v>0</v>
      </c>
      <c r="V395" s="3">
        <f t="shared" si="269"/>
        <v>0</v>
      </c>
      <c r="W395">
        <f t="shared" si="270"/>
        <v>0</v>
      </c>
    </row>
    <row r="396" spans="1:23" ht="25.5" x14ac:dyDescent="0.15">
      <c r="A396" s="10" t="s">
        <v>2153</v>
      </c>
      <c r="B396" s="9" t="s">
        <v>1070</v>
      </c>
      <c r="C396" s="8" t="s">
        <v>1447</v>
      </c>
      <c r="D396" s="5"/>
      <c r="E396" s="4" t="s">
        <v>180</v>
      </c>
      <c r="F396" s="4" t="s">
        <v>2060</v>
      </c>
      <c r="G396" s="7">
        <v>43112</v>
      </c>
      <c r="H396" s="6"/>
      <c r="I396" s="5" t="s">
        <v>1597</v>
      </c>
      <c r="J396" s="5"/>
      <c r="K396" s="7"/>
      <c r="L396" s="6"/>
      <c r="M396" s="5"/>
      <c r="Q396" s="3" t="b">
        <f t="shared" si="264"/>
        <v>0</v>
      </c>
      <c r="R396" s="3" t="b">
        <f t="shared" si="265"/>
        <v>0</v>
      </c>
      <c r="T396" s="3" t="b">
        <f t="shared" si="267"/>
        <v>0</v>
      </c>
      <c r="U396" s="3" t="b">
        <f t="shared" si="268"/>
        <v>0</v>
      </c>
      <c r="V396" s="3">
        <f t="shared" si="269"/>
        <v>0</v>
      </c>
      <c r="W396">
        <f t="shared" si="270"/>
        <v>0</v>
      </c>
    </row>
    <row r="397" spans="1:23" x14ac:dyDescent="0.15">
      <c r="A397" s="16" t="s">
        <v>935</v>
      </c>
      <c r="B397" s="129" t="s">
        <v>807</v>
      </c>
      <c r="C397" s="130"/>
      <c r="D397" s="15" t="s">
        <v>1011</v>
      </c>
      <c r="E397" s="14" t="s">
        <v>1249</v>
      </c>
      <c r="F397" s="13" t="s">
        <v>2495</v>
      </c>
      <c r="G397" s="131" t="s">
        <v>591</v>
      </c>
      <c r="H397" s="132"/>
      <c r="I397" s="132"/>
      <c r="J397" s="132"/>
      <c r="K397" s="132"/>
      <c r="L397" s="132"/>
      <c r="M397" s="133"/>
    </row>
    <row r="398" spans="1:23" x14ac:dyDescent="0.15">
      <c r="A398" s="134" t="s">
        <v>977</v>
      </c>
      <c r="B398" s="136" t="s">
        <v>920</v>
      </c>
      <c r="C398" s="138" t="s">
        <v>1008</v>
      </c>
      <c r="D398" s="140" t="s">
        <v>1009</v>
      </c>
      <c r="E398" s="142" t="s">
        <v>2118</v>
      </c>
      <c r="F398" s="142" t="s">
        <v>1849</v>
      </c>
      <c r="G398" s="144" t="s">
        <v>994</v>
      </c>
      <c r="H398" s="145"/>
      <c r="I398" s="145"/>
      <c r="J398" s="146"/>
      <c r="K398" s="144" t="s">
        <v>982</v>
      </c>
      <c r="L398" s="145"/>
      <c r="M398" s="147"/>
    </row>
    <row r="399" spans="1:23" x14ac:dyDescent="0.15">
      <c r="A399" s="135"/>
      <c r="B399" s="137"/>
      <c r="C399" s="139"/>
      <c r="D399" s="141"/>
      <c r="E399" s="143"/>
      <c r="F399" s="143"/>
      <c r="G399" s="12" t="s">
        <v>1588</v>
      </c>
      <c r="H399" s="12" t="s">
        <v>1578</v>
      </c>
      <c r="I399" s="12" t="s">
        <v>1562</v>
      </c>
      <c r="J399" s="12" t="s">
        <v>1007</v>
      </c>
      <c r="K399" s="12" t="s">
        <v>1588</v>
      </c>
      <c r="L399" s="12" t="s">
        <v>1578</v>
      </c>
      <c r="M399" s="11" t="s">
        <v>1562</v>
      </c>
    </row>
    <row r="400" spans="1:23" ht="78.75" x14ac:dyDescent="0.15">
      <c r="A400" s="10" t="s">
        <v>2022</v>
      </c>
      <c r="B400" s="9" t="s">
        <v>664</v>
      </c>
      <c r="C400" s="8" t="s">
        <v>1003</v>
      </c>
      <c r="D400" s="5" t="s">
        <v>532</v>
      </c>
      <c r="E400" s="4" t="s">
        <v>15</v>
      </c>
      <c r="F400" s="4" t="s">
        <v>712</v>
      </c>
      <c r="G400" s="7">
        <v>43059</v>
      </c>
      <c r="H400" s="6" t="s">
        <v>951</v>
      </c>
      <c r="I400" s="5" t="s">
        <v>1587</v>
      </c>
      <c r="J400" s="5"/>
      <c r="K400" s="7"/>
      <c r="L400" s="6"/>
      <c r="M400" s="5"/>
      <c r="Q400" s="3">
        <f t="shared" ref="Q400:Q403" si="271">IF($Q$6&gt;=G400,0)</f>
        <v>0</v>
      </c>
      <c r="R400" s="3">
        <f t="shared" ref="R400:R403" si="272">IF($R$6&gt;=G400,0)</f>
        <v>0</v>
      </c>
      <c r="S400" s="3">
        <f t="shared" ref="S400:S403" si="273">IF($S$6&gt;=G400,0)</f>
        <v>0</v>
      </c>
      <c r="T400" s="3">
        <f t="shared" ref="T400:T403" si="274">IF($T$6&gt;=G400,0)</f>
        <v>0</v>
      </c>
      <c r="U400" s="3">
        <f t="shared" ref="U400:U403" si="275">IF($U$6&gt;=G400,0)</f>
        <v>0</v>
      </c>
      <c r="V400" s="3">
        <f t="shared" ref="V400:V403" si="276">IF($V$6&gt;=G400,0)</f>
        <v>0</v>
      </c>
      <c r="W400">
        <f t="shared" ref="W400:W403" si="277">IF($W$6&gt;=G400,0)</f>
        <v>0</v>
      </c>
    </row>
    <row r="401" spans="1:23" ht="56.25" x14ac:dyDescent="0.15">
      <c r="A401" s="10" t="s">
        <v>1869</v>
      </c>
      <c r="B401" s="9" t="s">
        <v>815</v>
      </c>
      <c r="C401" s="8" t="s">
        <v>1447</v>
      </c>
      <c r="D401" s="5" t="s">
        <v>532</v>
      </c>
      <c r="E401" s="4" t="s">
        <v>1373</v>
      </c>
      <c r="F401" s="4" t="s">
        <v>487</v>
      </c>
      <c r="G401" s="7">
        <v>43059</v>
      </c>
      <c r="H401" s="6" t="s">
        <v>951</v>
      </c>
      <c r="I401" s="5" t="s">
        <v>1587</v>
      </c>
      <c r="J401" s="5"/>
      <c r="K401" s="7"/>
      <c r="L401" s="6"/>
      <c r="M401" s="5"/>
      <c r="Q401" s="3">
        <f t="shared" si="271"/>
        <v>0</v>
      </c>
      <c r="R401" s="3">
        <f t="shared" si="272"/>
        <v>0</v>
      </c>
      <c r="S401" s="3">
        <f t="shared" si="273"/>
        <v>0</v>
      </c>
      <c r="T401" s="3">
        <f t="shared" si="274"/>
        <v>0</v>
      </c>
      <c r="U401" s="3">
        <f t="shared" si="275"/>
        <v>0</v>
      </c>
      <c r="V401" s="3">
        <f t="shared" si="276"/>
        <v>0</v>
      </c>
      <c r="W401">
        <f t="shared" si="277"/>
        <v>0</v>
      </c>
    </row>
    <row r="402" spans="1:23" ht="67.5" x14ac:dyDescent="0.15">
      <c r="A402" s="10" t="s">
        <v>2104</v>
      </c>
      <c r="B402" s="9" t="s">
        <v>835</v>
      </c>
      <c r="C402" s="8" t="s">
        <v>1003</v>
      </c>
      <c r="D402" s="5" t="s">
        <v>532</v>
      </c>
      <c r="E402" s="4" t="s">
        <v>66</v>
      </c>
      <c r="F402" s="4" t="s">
        <v>76</v>
      </c>
      <c r="G402" s="7">
        <v>43059</v>
      </c>
      <c r="H402" s="6" t="s">
        <v>951</v>
      </c>
      <c r="I402" s="5" t="s">
        <v>1587</v>
      </c>
      <c r="J402" s="5"/>
      <c r="K402" s="7"/>
      <c r="L402" s="6"/>
      <c r="M402" s="5"/>
      <c r="Q402" s="3">
        <f t="shared" si="271"/>
        <v>0</v>
      </c>
      <c r="R402" s="3">
        <f t="shared" si="272"/>
        <v>0</v>
      </c>
      <c r="S402" s="3">
        <f t="shared" si="273"/>
        <v>0</v>
      </c>
      <c r="T402" s="3">
        <f t="shared" si="274"/>
        <v>0</v>
      </c>
      <c r="U402" s="3">
        <f t="shared" si="275"/>
        <v>0</v>
      </c>
      <c r="V402" s="3">
        <f t="shared" si="276"/>
        <v>0</v>
      </c>
      <c r="W402">
        <f t="shared" si="277"/>
        <v>0</v>
      </c>
    </row>
    <row r="403" spans="1:23" ht="67.5" x14ac:dyDescent="0.15">
      <c r="A403" s="10" t="s">
        <v>2347</v>
      </c>
      <c r="B403" s="9" t="s">
        <v>904</v>
      </c>
      <c r="C403" s="8" t="s">
        <v>1003</v>
      </c>
      <c r="D403" s="5" t="s">
        <v>532</v>
      </c>
      <c r="E403" s="4" t="s">
        <v>454</v>
      </c>
      <c r="F403" s="4" t="s">
        <v>80</v>
      </c>
      <c r="G403" s="7">
        <v>43059</v>
      </c>
      <c r="H403" s="6" t="s">
        <v>951</v>
      </c>
      <c r="I403" s="5" t="s">
        <v>1587</v>
      </c>
      <c r="J403" s="5"/>
      <c r="K403" s="7"/>
      <c r="L403" s="6"/>
      <c r="M403" s="5"/>
      <c r="Q403" s="3">
        <f t="shared" si="271"/>
        <v>0</v>
      </c>
      <c r="R403" s="3">
        <f t="shared" si="272"/>
        <v>0</v>
      </c>
      <c r="S403" s="3">
        <f t="shared" si="273"/>
        <v>0</v>
      </c>
      <c r="T403" s="3">
        <f t="shared" si="274"/>
        <v>0</v>
      </c>
      <c r="U403" s="3">
        <f t="shared" si="275"/>
        <v>0</v>
      </c>
      <c r="V403" s="3">
        <f t="shared" si="276"/>
        <v>0</v>
      </c>
      <c r="W403">
        <f t="shared" si="277"/>
        <v>0</v>
      </c>
    </row>
    <row r="404" spans="1:23" x14ac:dyDescent="0.15">
      <c r="A404" s="16" t="s">
        <v>935</v>
      </c>
      <c r="B404" s="129" t="s">
        <v>1440</v>
      </c>
      <c r="C404" s="130"/>
      <c r="D404" s="15" t="s">
        <v>1011</v>
      </c>
      <c r="E404" s="14" t="s">
        <v>1320</v>
      </c>
      <c r="F404" s="13" t="s">
        <v>2495</v>
      </c>
      <c r="G404" s="131" t="s">
        <v>536</v>
      </c>
      <c r="H404" s="132"/>
      <c r="I404" s="132"/>
      <c r="J404" s="132"/>
      <c r="K404" s="132"/>
      <c r="L404" s="132"/>
      <c r="M404" s="133"/>
    </row>
    <row r="405" spans="1:23" x14ac:dyDescent="0.15">
      <c r="A405" s="134" t="s">
        <v>977</v>
      </c>
      <c r="B405" s="136" t="s">
        <v>920</v>
      </c>
      <c r="C405" s="138" t="s">
        <v>1008</v>
      </c>
      <c r="D405" s="140" t="s">
        <v>1009</v>
      </c>
      <c r="E405" s="142" t="s">
        <v>2118</v>
      </c>
      <c r="F405" s="142" t="s">
        <v>1849</v>
      </c>
      <c r="G405" s="144" t="s">
        <v>994</v>
      </c>
      <c r="H405" s="145"/>
      <c r="I405" s="145"/>
      <c r="J405" s="146"/>
      <c r="K405" s="144" t="s">
        <v>982</v>
      </c>
      <c r="L405" s="145"/>
      <c r="M405" s="147"/>
    </row>
    <row r="406" spans="1:23" x14ac:dyDescent="0.15">
      <c r="A406" s="135"/>
      <c r="B406" s="137"/>
      <c r="C406" s="139"/>
      <c r="D406" s="141"/>
      <c r="E406" s="143"/>
      <c r="F406" s="143"/>
      <c r="G406" s="12" t="s">
        <v>1588</v>
      </c>
      <c r="H406" s="12" t="s">
        <v>1578</v>
      </c>
      <c r="I406" s="12" t="s">
        <v>1562</v>
      </c>
      <c r="J406" s="12" t="s">
        <v>1007</v>
      </c>
      <c r="K406" s="12" t="s">
        <v>1588</v>
      </c>
      <c r="L406" s="12" t="s">
        <v>1578</v>
      </c>
      <c r="M406" s="11" t="s">
        <v>1562</v>
      </c>
    </row>
    <row r="407" spans="1:23" ht="33.75" x14ac:dyDescent="0.15">
      <c r="A407" s="10" t="s">
        <v>2167</v>
      </c>
      <c r="B407" s="9" t="s">
        <v>1244</v>
      </c>
      <c r="C407" s="8" t="s">
        <v>1447</v>
      </c>
      <c r="D407" s="5"/>
      <c r="E407" s="4" t="s">
        <v>496</v>
      </c>
      <c r="F407" s="4" t="s">
        <v>1361</v>
      </c>
      <c r="G407" s="7">
        <v>43084</v>
      </c>
      <c r="H407" s="6" t="s">
        <v>951</v>
      </c>
      <c r="I407" s="5" t="s">
        <v>1585</v>
      </c>
      <c r="J407" s="5"/>
      <c r="K407" s="7"/>
      <c r="L407" s="6"/>
      <c r="M407" s="5"/>
      <c r="Q407" s="3" t="b">
        <f t="shared" ref="Q407:Q410" si="278">IF($Q$6&gt;=G407,0)</f>
        <v>0</v>
      </c>
      <c r="R407" s="3">
        <f t="shared" ref="R407:R410" si="279">IF($R$6&gt;=G407,0)</f>
        <v>0</v>
      </c>
      <c r="S407" s="3">
        <f>IF($S$6&gt;=G407,0)</f>
        <v>0</v>
      </c>
      <c r="T407" s="3">
        <f t="shared" ref="T407:T410" si="280">IF($T$6&gt;=G407,0)</f>
        <v>0</v>
      </c>
      <c r="U407" s="3">
        <f t="shared" ref="U407:U410" si="281">IF($U$6&gt;=G407,0)</f>
        <v>0</v>
      </c>
      <c r="V407" s="3">
        <f t="shared" ref="V407:V410" si="282">IF($V$6&gt;=G407,0)</f>
        <v>0</v>
      </c>
      <c r="W407">
        <f t="shared" ref="W407:W410" si="283">IF($W$6&gt;=G407,0)</f>
        <v>0</v>
      </c>
    </row>
    <row r="408" spans="1:23" ht="25.5" x14ac:dyDescent="0.15">
      <c r="A408" s="10" t="s">
        <v>1706</v>
      </c>
      <c r="B408" s="36" t="s">
        <v>179</v>
      </c>
      <c r="C408" s="8" t="s">
        <v>1447</v>
      </c>
      <c r="D408" s="5"/>
      <c r="E408" s="4"/>
      <c r="F408" s="4"/>
      <c r="G408" s="7">
        <v>43112</v>
      </c>
      <c r="H408" s="6"/>
      <c r="I408" s="5" t="s">
        <v>1585</v>
      </c>
      <c r="J408" s="5" t="s">
        <v>973</v>
      </c>
      <c r="K408" s="7"/>
      <c r="L408" s="6"/>
      <c r="M408" s="5"/>
      <c r="N408" s="2" t="s">
        <v>1568</v>
      </c>
      <c r="Q408" s="3" t="b">
        <f t="shared" si="278"/>
        <v>0</v>
      </c>
      <c r="R408" s="3" t="b">
        <f t="shared" si="279"/>
        <v>0</v>
      </c>
      <c r="T408" s="3" t="b">
        <f t="shared" si="280"/>
        <v>0</v>
      </c>
      <c r="U408" s="3" t="b">
        <f t="shared" si="281"/>
        <v>0</v>
      </c>
      <c r="V408" s="3">
        <f t="shared" si="282"/>
        <v>0</v>
      </c>
      <c r="W408">
        <f t="shared" si="283"/>
        <v>0</v>
      </c>
    </row>
    <row r="409" spans="1:23" ht="25.5" x14ac:dyDescent="0.15">
      <c r="A409" s="10" t="s">
        <v>1741</v>
      </c>
      <c r="B409" s="36" t="s">
        <v>469</v>
      </c>
      <c r="C409" s="8" t="s">
        <v>1447</v>
      </c>
      <c r="D409" s="5"/>
      <c r="E409" s="4"/>
      <c r="F409" s="4"/>
      <c r="G409" s="7">
        <v>43112</v>
      </c>
      <c r="H409" s="6"/>
      <c r="I409" s="5" t="s">
        <v>1585</v>
      </c>
      <c r="J409" s="5" t="s">
        <v>973</v>
      </c>
      <c r="K409" s="7"/>
      <c r="L409" s="6"/>
      <c r="M409" s="5"/>
      <c r="N409" s="2" t="s">
        <v>1568</v>
      </c>
      <c r="Q409" s="3" t="b">
        <f t="shared" si="278"/>
        <v>0</v>
      </c>
      <c r="R409" s="3" t="b">
        <f t="shared" si="279"/>
        <v>0</v>
      </c>
      <c r="T409" s="3" t="b">
        <f t="shared" si="280"/>
        <v>0</v>
      </c>
      <c r="U409" s="3" t="b">
        <f t="shared" si="281"/>
        <v>0</v>
      </c>
      <c r="V409" s="3">
        <f t="shared" si="282"/>
        <v>0</v>
      </c>
      <c r="W409">
        <f t="shared" si="283"/>
        <v>0</v>
      </c>
    </row>
    <row r="410" spans="1:23" ht="25.5" x14ac:dyDescent="0.15">
      <c r="A410" s="10" t="s">
        <v>1702</v>
      </c>
      <c r="B410" s="36" t="s">
        <v>1353</v>
      </c>
      <c r="C410" s="8" t="s">
        <v>1447</v>
      </c>
      <c r="D410" s="5"/>
      <c r="E410" s="4"/>
      <c r="F410" s="4"/>
      <c r="G410" s="7">
        <v>43112</v>
      </c>
      <c r="H410" s="6"/>
      <c r="I410" s="5" t="s">
        <v>1585</v>
      </c>
      <c r="J410" s="5" t="s">
        <v>973</v>
      </c>
      <c r="K410" s="7"/>
      <c r="L410" s="6"/>
      <c r="M410" s="5"/>
      <c r="N410" s="2" t="s">
        <v>1568</v>
      </c>
      <c r="Q410" s="3" t="b">
        <f t="shared" si="278"/>
        <v>0</v>
      </c>
      <c r="R410" s="3" t="b">
        <f t="shared" si="279"/>
        <v>0</v>
      </c>
      <c r="T410" s="3" t="b">
        <f t="shared" si="280"/>
        <v>0</v>
      </c>
      <c r="U410" s="3" t="b">
        <f t="shared" si="281"/>
        <v>0</v>
      </c>
      <c r="V410" s="3">
        <f t="shared" si="282"/>
        <v>0</v>
      </c>
      <c r="W410">
        <f t="shared" si="283"/>
        <v>0</v>
      </c>
    </row>
    <row r="411" spans="1:23" ht="22.5" x14ac:dyDescent="0.15">
      <c r="A411" s="16" t="s">
        <v>935</v>
      </c>
      <c r="B411" s="56" t="s">
        <v>839</v>
      </c>
      <c r="C411" s="8"/>
      <c r="D411" s="15" t="s">
        <v>1011</v>
      </c>
      <c r="E411" s="14" t="s">
        <v>1202</v>
      </c>
      <c r="F411" s="13" t="s">
        <v>2495</v>
      </c>
      <c r="G411" s="63" t="s">
        <v>536</v>
      </c>
      <c r="H411" s="6"/>
      <c r="I411" s="5"/>
      <c r="J411" s="5"/>
      <c r="K411" s="7"/>
      <c r="L411" s="6"/>
      <c r="M411" s="5"/>
    </row>
    <row r="412" spans="1:23" x14ac:dyDescent="0.15">
      <c r="A412" s="58" t="s">
        <v>977</v>
      </c>
      <c r="B412" s="59" t="s">
        <v>920</v>
      </c>
      <c r="C412" s="60" t="s">
        <v>1008</v>
      </c>
      <c r="D412" s="61" t="s">
        <v>1009</v>
      </c>
      <c r="E412" s="62" t="s">
        <v>2118</v>
      </c>
      <c r="F412" s="62" t="s">
        <v>1849</v>
      </c>
      <c r="G412" s="57" t="s">
        <v>994</v>
      </c>
      <c r="H412" s="6"/>
      <c r="I412" s="5"/>
      <c r="J412" s="5"/>
      <c r="K412" s="57" t="s">
        <v>982</v>
      </c>
      <c r="L412" s="6"/>
      <c r="M412" s="5"/>
    </row>
    <row r="413" spans="1:23" x14ac:dyDescent="0.15">
      <c r="A413" s="35"/>
      <c r="B413" s="59"/>
      <c r="C413" s="60"/>
      <c r="D413" s="61"/>
      <c r="E413" s="62"/>
      <c r="F413" s="62"/>
      <c r="G413" s="12" t="s">
        <v>1588</v>
      </c>
      <c r="H413" s="12" t="s">
        <v>1578</v>
      </c>
      <c r="I413" s="12" t="s">
        <v>1562</v>
      </c>
      <c r="J413" s="12" t="s">
        <v>1007</v>
      </c>
      <c r="K413" s="12" t="s">
        <v>1588</v>
      </c>
      <c r="L413" s="12" t="s">
        <v>1578</v>
      </c>
      <c r="M413" s="11" t="s">
        <v>1562</v>
      </c>
    </row>
    <row r="414" spans="1:23" ht="33.75" x14ac:dyDescent="0.15">
      <c r="A414" s="10" t="s">
        <v>1875</v>
      </c>
      <c r="B414" s="9" t="s">
        <v>1202</v>
      </c>
      <c r="C414" s="8" t="s">
        <v>1447</v>
      </c>
      <c r="D414" s="5"/>
      <c r="E414" s="4" t="s">
        <v>366</v>
      </c>
      <c r="F414" s="4" t="s">
        <v>2644</v>
      </c>
      <c r="G414" s="7">
        <v>43059</v>
      </c>
      <c r="H414" s="6" t="s">
        <v>951</v>
      </c>
      <c r="I414" s="5" t="s">
        <v>1585</v>
      </c>
      <c r="J414" s="5"/>
      <c r="K414" s="7"/>
      <c r="L414" s="6"/>
      <c r="M414" s="5"/>
      <c r="Q414" s="3">
        <f t="shared" ref="Q414:Q419" si="284">IF($Q$6&gt;=G414,0)</f>
        <v>0</v>
      </c>
      <c r="R414" s="3">
        <f t="shared" ref="R414:R419" si="285">IF($R$6&gt;=G414,0)</f>
        <v>0</v>
      </c>
      <c r="S414" s="3">
        <f t="shared" ref="S414:S415" si="286">IF($S$6&gt;=G414,0)</f>
        <v>0</v>
      </c>
      <c r="T414" s="3">
        <f t="shared" ref="T414:T419" si="287">IF($T$6&gt;=G414,0)</f>
        <v>0</v>
      </c>
      <c r="U414" s="3">
        <f t="shared" ref="U414:U419" si="288">IF($U$6&gt;=G414,0)</f>
        <v>0</v>
      </c>
      <c r="V414" s="3">
        <f t="shared" ref="V414:V419" si="289">IF($V$6&gt;=G414,0)</f>
        <v>0</v>
      </c>
      <c r="W414">
        <f t="shared" ref="W414:W419" si="290">IF($W$6&gt;=G414,0)</f>
        <v>0</v>
      </c>
    </row>
    <row r="415" spans="1:23" ht="33.75" x14ac:dyDescent="0.15">
      <c r="A415" s="10" t="s">
        <v>1975</v>
      </c>
      <c r="B415" s="9" t="s">
        <v>323</v>
      </c>
      <c r="C415" s="8" t="s">
        <v>1447</v>
      </c>
      <c r="D415" s="5"/>
      <c r="E415" s="4" t="s">
        <v>366</v>
      </c>
      <c r="F415" s="4" t="s">
        <v>99</v>
      </c>
      <c r="G415" s="7">
        <v>43059</v>
      </c>
      <c r="H415" s="6" t="s">
        <v>951</v>
      </c>
      <c r="I415" s="5" t="s">
        <v>1585</v>
      </c>
      <c r="J415" s="5"/>
      <c r="K415" s="7"/>
      <c r="L415" s="6"/>
      <c r="M415" s="5"/>
      <c r="Q415" s="3">
        <f t="shared" si="284"/>
        <v>0</v>
      </c>
      <c r="R415" s="3">
        <f t="shared" si="285"/>
        <v>0</v>
      </c>
      <c r="S415" s="3">
        <f t="shared" si="286"/>
        <v>0</v>
      </c>
      <c r="T415" s="3">
        <f t="shared" si="287"/>
        <v>0</v>
      </c>
      <c r="U415" s="3">
        <f t="shared" si="288"/>
        <v>0</v>
      </c>
      <c r="V415" s="3">
        <f t="shared" si="289"/>
        <v>0</v>
      </c>
      <c r="W415">
        <f t="shared" si="290"/>
        <v>0</v>
      </c>
    </row>
    <row r="416" spans="1:23" ht="25.5" x14ac:dyDescent="0.15">
      <c r="A416" s="10" t="s">
        <v>1757</v>
      </c>
      <c r="B416" s="36" t="s">
        <v>1111</v>
      </c>
      <c r="C416" s="8" t="s">
        <v>1447</v>
      </c>
      <c r="D416" s="5"/>
      <c r="E416" s="4"/>
      <c r="F416" s="4"/>
      <c r="G416" s="7">
        <v>43112</v>
      </c>
      <c r="H416" s="6"/>
      <c r="I416" s="5" t="s">
        <v>1585</v>
      </c>
      <c r="J416" s="5" t="s">
        <v>973</v>
      </c>
      <c r="K416" s="7"/>
      <c r="L416" s="6"/>
      <c r="M416" s="5"/>
      <c r="N416" s="2" t="s">
        <v>1568</v>
      </c>
      <c r="Q416" s="3" t="b">
        <f t="shared" si="284"/>
        <v>0</v>
      </c>
      <c r="R416" s="3" t="b">
        <f t="shared" si="285"/>
        <v>0</v>
      </c>
      <c r="T416" s="3" t="b">
        <f t="shared" si="287"/>
        <v>0</v>
      </c>
      <c r="U416" s="3" t="b">
        <f t="shared" si="288"/>
        <v>0</v>
      </c>
      <c r="V416" s="3">
        <f t="shared" si="289"/>
        <v>0</v>
      </c>
      <c r="W416">
        <f t="shared" si="290"/>
        <v>0</v>
      </c>
    </row>
    <row r="417" spans="1:23" ht="33.75" x14ac:dyDescent="0.15">
      <c r="A417" s="10" t="s">
        <v>2016</v>
      </c>
      <c r="B417" s="9" t="s">
        <v>1221</v>
      </c>
      <c r="C417" s="8" t="s">
        <v>1447</v>
      </c>
      <c r="D417" s="5"/>
      <c r="E417" s="4" t="s">
        <v>366</v>
      </c>
      <c r="F417" s="4" t="s">
        <v>1176</v>
      </c>
      <c r="G417" s="7">
        <v>43084</v>
      </c>
      <c r="H417" s="6" t="s">
        <v>951</v>
      </c>
      <c r="I417" s="5" t="s">
        <v>1585</v>
      </c>
      <c r="J417" s="5"/>
      <c r="K417" s="7"/>
      <c r="L417" s="6"/>
      <c r="M417" s="5"/>
      <c r="N417" s="2" t="s">
        <v>1568</v>
      </c>
      <c r="Q417" s="3" t="b">
        <f t="shared" si="284"/>
        <v>0</v>
      </c>
      <c r="R417" s="3">
        <f t="shared" si="285"/>
        <v>0</v>
      </c>
      <c r="S417" s="3">
        <f t="shared" ref="S417:S419" si="291">IF($S$6&gt;=G417,0)</f>
        <v>0</v>
      </c>
      <c r="T417" s="3">
        <f t="shared" si="287"/>
        <v>0</v>
      </c>
      <c r="U417" s="3">
        <f t="shared" si="288"/>
        <v>0</v>
      </c>
      <c r="V417" s="3">
        <f t="shared" si="289"/>
        <v>0</v>
      </c>
      <c r="W417">
        <f t="shared" si="290"/>
        <v>0</v>
      </c>
    </row>
    <row r="418" spans="1:23" ht="33.75" x14ac:dyDescent="0.15">
      <c r="A418" s="10" t="s">
        <v>1717</v>
      </c>
      <c r="B418" s="9" t="s">
        <v>1299</v>
      </c>
      <c r="C418" s="8" t="s">
        <v>1447</v>
      </c>
      <c r="D418" s="5"/>
      <c r="E418" s="4" t="s">
        <v>366</v>
      </c>
      <c r="F418" s="4" t="s">
        <v>99</v>
      </c>
      <c r="G418" s="7">
        <v>43084</v>
      </c>
      <c r="H418" s="6" t="s">
        <v>951</v>
      </c>
      <c r="I418" s="5" t="s">
        <v>1585</v>
      </c>
      <c r="J418" s="5"/>
      <c r="K418" s="7"/>
      <c r="L418" s="6"/>
      <c r="M418" s="5"/>
      <c r="N418" s="2" t="s">
        <v>1568</v>
      </c>
      <c r="Q418" s="3" t="b">
        <f t="shared" si="284"/>
        <v>0</v>
      </c>
      <c r="R418" s="3">
        <f t="shared" si="285"/>
        <v>0</v>
      </c>
      <c r="S418" s="3">
        <f t="shared" si="291"/>
        <v>0</v>
      </c>
      <c r="T418" s="3">
        <f t="shared" si="287"/>
        <v>0</v>
      </c>
      <c r="U418" s="3">
        <f t="shared" si="288"/>
        <v>0</v>
      </c>
      <c r="V418" s="3">
        <f t="shared" si="289"/>
        <v>0</v>
      </c>
      <c r="W418">
        <f t="shared" si="290"/>
        <v>0</v>
      </c>
    </row>
    <row r="419" spans="1:23" ht="33.75" x14ac:dyDescent="0.15">
      <c r="A419" s="10" t="s">
        <v>1723</v>
      </c>
      <c r="B419" s="9" t="s">
        <v>1152</v>
      </c>
      <c r="C419" s="8" t="s">
        <v>1447</v>
      </c>
      <c r="D419" s="5"/>
      <c r="E419" s="4" t="s">
        <v>366</v>
      </c>
      <c r="F419" s="4" t="s">
        <v>99</v>
      </c>
      <c r="G419" s="7">
        <v>43084</v>
      </c>
      <c r="H419" s="6" t="s">
        <v>951</v>
      </c>
      <c r="I419" s="5" t="s">
        <v>1585</v>
      </c>
      <c r="J419" s="5"/>
      <c r="K419" s="7"/>
      <c r="L419" s="6"/>
      <c r="M419" s="5"/>
      <c r="N419" s="2" t="s">
        <v>1568</v>
      </c>
      <c r="Q419" s="3" t="b">
        <f t="shared" si="284"/>
        <v>0</v>
      </c>
      <c r="R419" s="3">
        <f t="shared" si="285"/>
        <v>0</v>
      </c>
      <c r="S419" s="3">
        <f t="shared" si="291"/>
        <v>0</v>
      </c>
      <c r="T419" s="3">
        <f t="shared" si="287"/>
        <v>0</v>
      </c>
      <c r="U419" s="3">
        <f t="shared" si="288"/>
        <v>0</v>
      </c>
      <c r="V419" s="3">
        <f t="shared" si="289"/>
        <v>0</v>
      </c>
      <c r="W419">
        <f t="shared" si="290"/>
        <v>0</v>
      </c>
    </row>
    <row r="420" spans="1:23" ht="22.5" x14ac:dyDescent="0.15">
      <c r="A420" s="16" t="s">
        <v>935</v>
      </c>
      <c r="B420" s="56" t="s">
        <v>1499</v>
      </c>
      <c r="C420" s="8"/>
      <c r="D420" s="15" t="s">
        <v>1011</v>
      </c>
      <c r="E420" s="9" t="s">
        <v>1505</v>
      </c>
      <c r="F420" s="13" t="s">
        <v>2495</v>
      </c>
      <c r="G420" s="63" t="s">
        <v>536</v>
      </c>
      <c r="H420" s="6"/>
      <c r="I420" s="5"/>
      <c r="J420" s="5"/>
      <c r="K420" s="7"/>
      <c r="L420" s="6"/>
      <c r="M420" s="5"/>
    </row>
    <row r="421" spans="1:23" x14ac:dyDescent="0.15">
      <c r="A421" s="58" t="s">
        <v>977</v>
      </c>
      <c r="B421" s="59" t="s">
        <v>920</v>
      </c>
      <c r="C421" s="60" t="s">
        <v>1008</v>
      </c>
      <c r="D421" s="61" t="s">
        <v>1009</v>
      </c>
      <c r="E421" s="62" t="s">
        <v>2118</v>
      </c>
      <c r="F421" s="62" t="s">
        <v>1849</v>
      </c>
      <c r="G421" s="57" t="s">
        <v>994</v>
      </c>
      <c r="H421" s="6"/>
      <c r="I421" s="5"/>
      <c r="J421" s="5"/>
      <c r="K421" s="57" t="s">
        <v>982</v>
      </c>
      <c r="L421" s="6"/>
      <c r="M421" s="5"/>
    </row>
    <row r="422" spans="1:23" x14ac:dyDescent="0.15">
      <c r="A422" s="35"/>
      <c r="B422" s="59"/>
      <c r="C422" s="60"/>
      <c r="D422" s="61"/>
      <c r="E422" s="62"/>
      <c r="F422" s="62"/>
      <c r="G422" s="12" t="s">
        <v>1588</v>
      </c>
      <c r="H422" s="12" t="s">
        <v>1578</v>
      </c>
      <c r="I422" s="12" t="s">
        <v>1562</v>
      </c>
      <c r="J422" s="12" t="s">
        <v>1007</v>
      </c>
      <c r="K422" s="12" t="s">
        <v>1588</v>
      </c>
      <c r="L422" s="12" t="s">
        <v>1578</v>
      </c>
      <c r="M422" s="11" t="s">
        <v>1562</v>
      </c>
    </row>
    <row r="423" spans="1:23" ht="25.5" x14ac:dyDescent="0.15">
      <c r="A423" s="10" t="s">
        <v>2431</v>
      </c>
      <c r="B423" s="9" t="s">
        <v>1505</v>
      </c>
      <c r="C423" s="8" t="s">
        <v>1447</v>
      </c>
      <c r="D423" s="5" t="s">
        <v>992</v>
      </c>
      <c r="E423" s="4"/>
      <c r="F423" s="4" t="s">
        <v>1055</v>
      </c>
      <c r="G423" s="7">
        <v>43105</v>
      </c>
      <c r="H423" s="6" t="s">
        <v>951</v>
      </c>
      <c r="I423" s="5" t="s">
        <v>1579</v>
      </c>
      <c r="J423" s="5"/>
      <c r="K423" s="7"/>
      <c r="L423" s="6"/>
      <c r="M423" s="5"/>
      <c r="Q423" s="3" t="b">
        <f t="shared" ref="Q423:Q425" si="292">IF($Q$6&gt;=G423,0)</f>
        <v>0</v>
      </c>
      <c r="R423" s="3" t="b">
        <f t="shared" ref="R423:R425" si="293">IF($R$6&gt;=G423,0)</f>
        <v>0</v>
      </c>
      <c r="T423" s="3" t="b">
        <f t="shared" ref="T423:T425" si="294">IF($T$6&gt;=G423,0)</f>
        <v>0</v>
      </c>
      <c r="U423" s="3">
        <f t="shared" ref="U423:U425" si="295">IF($U$6&gt;=G423,0)</f>
        <v>0</v>
      </c>
      <c r="V423" s="3">
        <f t="shared" ref="V423:V425" si="296">IF($V$6&gt;=G423,0)</f>
        <v>0</v>
      </c>
      <c r="W423">
        <f t="shared" ref="W423:W425" si="297">IF($W$6&gt;=G423,0)</f>
        <v>0</v>
      </c>
    </row>
    <row r="424" spans="1:23" ht="45" x14ac:dyDescent="0.15">
      <c r="A424" s="10" t="s">
        <v>1689</v>
      </c>
      <c r="B424" s="9" t="s">
        <v>610</v>
      </c>
      <c r="C424" s="8" t="s">
        <v>1447</v>
      </c>
      <c r="D424" s="5" t="s">
        <v>992</v>
      </c>
      <c r="E424" s="4" t="s">
        <v>473</v>
      </c>
      <c r="F424" s="4" t="s">
        <v>298</v>
      </c>
      <c r="G424" s="7">
        <v>43105</v>
      </c>
      <c r="H424" s="6" t="s">
        <v>951</v>
      </c>
      <c r="I424" s="5" t="s">
        <v>1579</v>
      </c>
      <c r="J424" s="5"/>
      <c r="K424" s="7"/>
      <c r="L424" s="6"/>
      <c r="M424" s="5"/>
      <c r="Q424" s="3" t="b">
        <f t="shared" si="292"/>
        <v>0</v>
      </c>
      <c r="R424" s="3" t="b">
        <f t="shared" si="293"/>
        <v>0</v>
      </c>
      <c r="T424" s="3" t="b">
        <f t="shared" si="294"/>
        <v>0</v>
      </c>
      <c r="U424" s="3">
        <f t="shared" si="295"/>
        <v>0</v>
      </c>
      <c r="V424" s="3">
        <f t="shared" si="296"/>
        <v>0</v>
      </c>
      <c r="W424">
        <f t="shared" si="297"/>
        <v>0</v>
      </c>
    </row>
    <row r="425" spans="1:23" ht="45" x14ac:dyDescent="0.15">
      <c r="A425" s="10" t="s">
        <v>1937</v>
      </c>
      <c r="B425" s="9" t="s">
        <v>531</v>
      </c>
      <c r="C425" s="8" t="s">
        <v>1447</v>
      </c>
      <c r="D425" s="5" t="s">
        <v>992</v>
      </c>
      <c r="E425" s="4" t="s">
        <v>472</v>
      </c>
      <c r="F425" s="4" t="s">
        <v>394</v>
      </c>
      <c r="G425" s="7">
        <v>43105</v>
      </c>
      <c r="H425" s="6" t="s">
        <v>951</v>
      </c>
      <c r="I425" s="5" t="s">
        <v>1579</v>
      </c>
      <c r="J425" s="5"/>
      <c r="K425" s="7"/>
      <c r="L425" s="6"/>
      <c r="M425" s="5"/>
      <c r="Q425" s="3" t="b">
        <f t="shared" si="292"/>
        <v>0</v>
      </c>
      <c r="R425" s="3" t="b">
        <f t="shared" si="293"/>
        <v>0</v>
      </c>
      <c r="T425" s="3" t="b">
        <f t="shared" si="294"/>
        <v>0</v>
      </c>
      <c r="U425" s="3">
        <f t="shared" si="295"/>
        <v>0</v>
      </c>
      <c r="V425" s="3">
        <f t="shared" si="296"/>
        <v>0</v>
      </c>
      <c r="W425">
        <f t="shared" si="297"/>
        <v>0</v>
      </c>
    </row>
    <row r="426" spans="1:23" ht="25.5" x14ac:dyDescent="0.15">
      <c r="A426" s="16" t="s">
        <v>935</v>
      </c>
      <c r="B426" s="129" t="s">
        <v>1415</v>
      </c>
      <c r="C426" s="130"/>
      <c r="D426" s="15" t="s">
        <v>1011</v>
      </c>
      <c r="E426" s="9" t="s">
        <v>2690</v>
      </c>
      <c r="F426" s="13" t="s">
        <v>2495</v>
      </c>
      <c r="G426" s="131" t="s">
        <v>642</v>
      </c>
      <c r="H426" s="132"/>
      <c r="I426" s="132"/>
      <c r="J426" s="132"/>
      <c r="K426" s="132"/>
      <c r="L426" s="132"/>
      <c r="M426" s="133"/>
    </row>
    <row r="427" spans="1:23" x14ac:dyDescent="0.15">
      <c r="A427" s="134" t="s">
        <v>977</v>
      </c>
      <c r="B427" s="136" t="s">
        <v>920</v>
      </c>
      <c r="C427" s="138" t="s">
        <v>1008</v>
      </c>
      <c r="D427" s="140" t="s">
        <v>1009</v>
      </c>
      <c r="E427" s="142" t="s">
        <v>2118</v>
      </c>
      <c r="F427" s="142" t="s">
        <v>1849</v>
      </c>
      <c r="G427" s="144" t="s">
        <v>994</v>
      </c>
      <c r="H427" s="145"/>
      <c r="I427" s="145"/>
      <c r="J427" s="146"/>
      <c r="K427" s="144" t="s">
        <v>982</v>
      </c>
      <c r="L427" s="145"/>
      <c r="M427" s="147"/>
    </row>
    <row r="428" spans="1:23" x14ac:dyDescent="0.15">
      <c r="A428" s="135"/>
      <c r="B428" s="137"/>
      <c r="C428" s="139"/>
      <c r="D428" s="141"/>
      <c r="E428" s="143"/>
      <c r="F428" s="143"/>
      <c r="G428" s="12" t="s">
        <v>1588</v>
      </c>
      <c r="H428" s="12" t="s">
        <v>1578</v>
      </c>
      <c r="I428" s="12" t="s">
        <v>1562</v>
      </c>
      <c r="J428" s="12" t="s">
        <v>1007</v>
      </c>
      <c r="K428" s="12" t="s">
        <v>1588</v>
      </c>
      <c r="L428" s="12" t="s">
        <v>1578</v>
      </c>
      <c r="M428" s="11" t="s">
        <v>1562</v>
      </c>
    </row>
    <row r="429" spans="1:23" ht="25.5" x14ac:dyDescent="0.15">
      <c r="A429" s="10" t="s">
        <v>1691</v>
      </c>
      <c r="B429" s="36" t="s">
        <v>2690</v>
      </c>
      <c r="C429" s="8" t="s">
        <v>1447</v>
      </c>
      <c r="D429" s="5"/>
      <c r="E429" s="4"/>
      <c r="F429" s="4"/>
      <c r="G429" s="7">
        <v>43112</v>
      </c>
      <c r="H429" s="6"/>
      <c r="I429" s="5" t="s">
        <v>1587</v>
      </c>
      <c r="J429" s="5"/>
      <c r="K429" s="7"/>
      <c r="L429" s="6"/>
      <c r="M429" s="5"/>
      <c r="N429" s="2" t="s">
        <v>1568</v>
      </c>
      <c r="Q429" s="3" t="b">
        <f t="shared" ref="Q429:Q431" si="298">IF($Q$6&gt;=G429,0)</f>
        <v>0</v>
      </c>
      <c r="R429" s="3" t="b">
        <f t="shared" ref="R429:R431" si="299">IF($R$6&gt;=G429,0)</f>
        <v>0</v>
      </c>
      <c r="T429" s="3" t="b">
        <f t="shared" ref="T429:T431" si="300">IF($T$6&gt;=G429,0)</f>
        <v>0</v>
      </c>
      <c r="U429" s="3" t="b">
        <f t="shared" ref="U429:U431" si="301">IF($U$6&gt;=G429,0)</f>
        <v>0</v>
      </c>
      <c r="V429" s="3">
        <f t="shared" ref="V429:V431" si="302">IF($V$6&gt;=G429,0)</f>
        <v>0</v>
      </c>
      <c r="W429">
        <f t="shared" ref="W429:W431" si="303">IF($W$6&gt;=G429,0)</f>
        <v>0</v>
      </c>
    </row>
    <row r="430" spans="1:23" ht="25.5" x14ac:dyDescent="0.15">
      <c r="A430" s="10" t="s">
        <v>1793</v>
      </c>
      <c r="B430" s="36" t="s">
        <v>2654</v>
      </c>
      <c r="C430" s="8" t="s">
        <v>1447</v>
      </c>
      <c r="D430" s="5"/>
      <c r="E430" s="4"/>
      <c r="F430" s="4"/>
      <c r="G430" s="7">
        <v>43112</v>
      </c>
      <c r="H430" s="6"/>
      <c r="I430" s="5" t="s">
        <v>1587</v>
      </c>
      <c r="J430" s="5"/>
      <c r="K430" s="7"/>
      <c r="L430" s="6"/>
      <c r="M430" s="5"/>
      <c r="N430" s="2" t="s">
        <v>1568</v>
      </c>
      <c r="Q430" s="3" t="b">
        <f t="shared" si="298"/>
        <v>0</v>
      </c>
      <c r="R430" s="3" t="b">
        <f t="shared" si="299"/>
        <v>0</v>
      </c>
      <c r="T430" s="3" t="b">
        <f t="shared" si="300"/>
        <v>0</v>
      </c>
      <c r="U430" s="3" t="b">
        <f t="shared" si="301"/>
        <v>0</v>
      </c>
      <c r="V430" s="3">
        <f t="shared" si="302"/>
        <v>0</v>
      </c>
      <c r="W430">
        <f t="shared" si="303"/>
        <v>0</v>
      </c>
    </row>
    <row r="431" spans="1:23" ht="25.5" x14ac:dyDescent="0.15">
      <c r="A431" s="10" t="s">
        <v>1742</v>
      </c>
      <c r="B431" s="36" t="s">
        <v>2643</v>
      </c>
      <c r="C431" s="8" t="s">
        <v>1447</v>
      </c>
      <c r="D431" s="5"/>
      <c r="E431" s="4"/>
      <c r="F431" s="4"/>
      <c r="G431" s="7">
        <v>43112</v>
      </c>
      <c r="H431" s="6"/>
      <c r="I431" s="5" t="s">
        <v>1587</v>
      </c>
      <c r="J431" s="5"/>
      <c r="K431" s="7"/>
      <c r="L431" s="6"/>
      <c r="M431" s="5"/>
      <c r="N431" s="2" t="s">
        <v>1568</v>
      </c>
      <c r="Q431" s="3" t="b">
        <f t="shared" si="298"/>
        <v>0</v>
      </c>
      <c r="R431" s="3" t="b">
        <f t="shared" si="299"/>
        <v>0</v>
      </c>
      <c r="T431" s="3" t="b">
        <f t="shared" si="300"/>
        <v>0</v>
      </c>
      <c r="U431" s="3" t="b">
        <f t="shared" si="301"/>
        <v>0</v>
      </c>
      <c r="V431" s="3">
        <f t="shared" si="302"/>
        <v>0</v>
      </c>
      <c r="W431">
        <f t="shared" si="303"/>
        <v>0</v>
      </c>
    </row>
    <row r="432" spans="1:23" ht="25.5" x14ac:dyDescent="0.15">
      <c r="A432" s="16" t="s">
        <v>935</v>
      </c>
      <c r="B432" s="56" t="s">
        <v>675</v>
      </c>
      <c r="C432" s="8"/>
      <c r="D432" s="15" t="s">
        <v>1011</v>
      </c>
      <c r="E432" s="9" t="s">
        <v>2621</v>
      </c>
      <c r="F432" s="13" t="s">
        <v>2495</v>
      </c>
      <c r="G432" s="63" t="s">
        <v>642</v>
      </c>
      <c r="H432" s="6"/>
      <c r="I432" s="5"/>
      <c r="J432" s="5"/>
      <c r="K432" s="7"/>
      <c r="L432" s="6"/>
      <c r="M432" s="5"/>
    </row>
    <row r="433" spans="1:23" x14ac:dyDescent="0.15">
      <c r="A433" s="58" t="s">
        <v>977</v>
      </c>
      <c r="B433" s="59" t="s">
        <v>920</v>
      </c>
      <c r="C433" s="60" t="s">
        <v>1008</v>
      </c>
      <c r="D433" s="61" t="s">
        <v>1009</v>
      </c>
      <c r="E433" s="62" t="s">
        <v>2118</v>
      </c>
      <c r="F433" s="62" t="s">
        <v>1849</v>
      </c>
      <c r="G433" s="57" t="s">
        <v>994</v>
      </c>
      <c r="H433" s="6"/>
      <c r="I433" s="5"/>
      <c r="J433" s="5"/>
      <c r="K433" s="57" t="s">
        <v>982</v>
      </c>
      <c r="L433" s="6"/>
      <c r="M433" s="5"/>
    </row>
    <row r="434" spans="1:23" x14ac:dyDescent="0.15">
      <c r="A434" s="35"/>
      <c r="B434" s="59"/>
      <c r="C434" s="60"/>
      <c r="D434" s="61"/>
      <c r="E434" s="62"/>
      <c r="F434" s="62"/>
      <c r="G434" s="12" t="s">
        <v>1588</v>
      </c>
      <c r="H434" s="12" t="s">
        <v>1578</v>
      </c>
      <c r="I434" s="12" t="s">
        <v>1562</v>
      </c>
      <c r="J434" s="12" t="s">
        <v>1007</v>
      </c>
      <c r="K434" s="12" t="s">
        <v>1588</v>
      </c>
      <c r="L434" s="12" t="s">
        <v>1578</v>
      </c>
      <c r="M434" s="11" t="s">
        <v>1562</v>
      </c>
    </row>
    <row r="435" spans="1:23" ht="25.5" x14ac:dyDescent="0.15">
      <c r="A435" s="10" t="s">
        <v>1729</v>
      </c>
      <c r="B435" s="36" t="s">
        <v>2621</v>
      </c>
      <c r="C435" s="8" t="s">
        <v>1447</v>
      </c>
      <c r="D435" s="5"/>
      <c r="E435" s="4"/>
      <c r="F435" s="4"/>
      <c r="G435" s="7">
        <v>43112</v>
      </c>
      <c r="H435" s="6"/>
      <c r="I435" s="5" t="s">
        <v>1587</v>
      </c>
      <c r="J435" s="5"/>
      <c r="K435" s="7"/>
      <c r="L435" s="6"/>
      <c r="M435" s="5"/>
      <c r="N435" s="2" t="s">
        <v>1568</v>
      </c>
      <c r="Q435" s="3" t="b">
        <f t="shared" ref="Q435:Q437" si="304">IF($Q$6&gt;=G435,0)</f>
        <v>0</v>
      </c>
      <c r="R435" s="3" t="b">
        <f t="shared" ref="R435:R437" si="305">IF($R$6&gt;=G435,0)</f>
        <v>0</v>
      </c>
      <c r="T435" s="3" t="b">
        <f t="shared" ref="T435:T437" si="306">IF($T$6&gt;=G435,0)</f>
        <v>0</v>
      </c>
      <c r="U435" s="3" t="b">
        <f t="shared" ref="U435:U437" si="307">IF($U$6&gt;=G435,0)</f>
        <v>0</v>
      </c>
      <c r="V435" s="3">
        <f t="shared" ref="V435:V437" si="308">IF($V$6&gt;=G435,0)</f>
        <v>0</v>
      </c>
      <c r="W435">
        <f t="shared" ref="W435:W437" si="309">IF($W$6&gt;=G435,0)</f>
        <v>0</v>
      </c>
    </row>
    <row r="436" spans="1:23" ht="25.5" x14ac:dyDescent="0.15">
      <c r="A436" s="10" t="s">
        <v>1705</v>
      </c>
      <c r="B436" s="36" t="s">
        <v>2622</v>
      </c>
      <c r="C436" s="8" t="s">
        <v>1447</v>
      </c>
      <c r="D436" s="5"/>
      <c r="E436" s="4"/>
      <c r="F436" s="4"/>
      <c r="G436" s="7">
        <v>43112</v>
      </c>
      <c r="H436" s="6"/>
      <c r="I436" s="5" t="s">
        <v>1587</v>
      </c>
      <c r="J436" s="5"/>
      <c r="K436" s="7"/>
      <c r="L436" s="6"/>
      <c r="M436" s="5"/>
      <c r="N436" s="2" t="s">
        <v>1568</v>
      </c>
      <c r="Q436" s="3" t="b">
        <f t="shared" si="304"/>
        <v>0</v>
      </c>
      <c r="R436" s="3" t="b">
        <f t="shared" si="305"/>
        <v>0</v>
      </c>
      <c r="T436" s="3" t="b">
        <f t="shared" si="306"/>
        <v>0</v>
      </c>
      <c r="U436" s="3" t="b">
        <f t="shared" si="307"/>
        <v>0</v>
      </c>
      <c r="V436" s="3">
        <f t="shared" si="308"/>
        <v>0</v>
      </c>
      <c r="W436">
        <f t="shared" si="309"/>
        <v>0</v>
      </c>
    </row>
    <row r="437" spans="1:23" ht="25.5" x14ac:dyDescent="0.15">
      <c r="A437" s="10" t="s">
        <v>1725</v>
      </c>
      <c r="B437" s="36" t="s">
        <v>2667</v>
      </c>
      <c r="C437" s="8" t="s">
        <v>1447</v>
      </c>
      <c r="D437" s="5"/>
      <c r="E437" s="4"/>
      <c r="F437" s="4"/>
      <c r="G437" s="7">
        <v>43112</v>
      </c>
      <c r="H437" s="6"/>
      <c r="I437" s="5" t="s">
        <v>1587</v>
      </c>
      <c r="J437" s="5"/>
      <c r="K437" s="7"/>
      <c r="L437" s="6"/>
      <c r="M437" s="5"/>
      <c r="N437" s="2" t="s">
        <v>1568</v>
      </c>
      <c r="Q437" s="3" t="b">
        <f t="shared" si="304"/>
        <v>0</v>
      </c>
      <c r="R437" s="3" t="b">
        <f t="shared" si="305"/>
        <v>0</v>
      </c>
      <c r="T437" s="3" t="b">
        <f t="shared" si="306"/>
        <v>0</v>
      </c>
      <c r="U437" s="3" t="b">
        <f t="shared" si="307"/>
        <v>0</v>
      </c>
      <c r="V437" s="3">
        <f t="shared" si="308"/>
        <v>0</v>
      </c>
      <c r="W437">
        <f t="shared" si="309"/>
        <v>0</v>
      </c>
    </row>
    <row r="438" spans="1:23" x14ac:dyDescent="0.15">
      <c r="A438" s="16" t="s">
        <v>935</v>
      </c>
      <c r="B438" s="129" t="s">
        <v>50</v>
      </c>
      <c r="C438" s="130"/>
      <c r="D438" s="15" t="s">
        <v>1011</v>
      </c>
      <c r="E438" s="14" t="s">
        <v>1101</v>
      </c>
      <c r="F438" s="13" t="s">
        <v>2495</v>
      </c>
      <c r="G438" s="131" t="s">
        <v>1408</v>
      </c>
      <c r="H438" s="132"/>
      <c r="I438" s="132"/>
      <c r="J438" s="132"/>
      <c r="K438" s="132"/>
      <c r="L438" s="132"/>
      <c r="M438" s="133"/>
    </row>
    <row r="439" spans="1:23" x14ac:dyDescent="0.15">
      <c r="A439" s="134" t="s">
        <v>977</v>
      </c>
      <c r="B439" s="136" t="s">
        <v>920</v>
      </c>
      <c r="C439" s="138" t="s">
        <v>1008</v>
      </c>
      <c r="D439" s="140" t="s">
        <v>1009</v>
      </c>
      <c r="E439" s="142" t="s">
        <v>2118</v>
      </c>
      <c r="F439" s="142" t="s">
        <v>1849</v>
      </c>
      <c r="G439" s="144" t="s">
        <v>994</v>
      </c>
      <c r="H439" s="145"/>
      <c r="I439" s="145"/>
      <c r="J439" s="146"/>
      <c r="K439" s="144" t="s">
        <v>982</v>
      </c>
      <c r="L439" s="145"/>
      <c r="M439" s="147"/>
    </row>
    <row r="440" spans="1:23" x14ac:dyDescent="0.15">
      <c r="A440" s="135"/>
      <c r="B440" s="137"/>
      <c r="C440" s="139"/>
      <c r="D440" s="141"/>
      <c r="E440" s="143"/>
      <c r="F440" s="143"/>
      <c r="G440" s="12" t="s">
        <v>1588</v>
      </c>
      <c r="H440" s="12" t="s">
        <v>1578</v>
      </c>
      <c r="I440" s="12" t="s">
        <v>1562</v>
      </c>
      <c r="J440" s="12" t="s">
        <v>1007</v>
      </c>
      <c r="K440" s="12" t="s">
        <v>1588</v>
      </c>
      <c r="L440" s="12" t="s">
        <v>1578</v>
      </c>
      <c r="M440" s="11" t="s">
        <v>1562</v>
      </c>
    </row>
    <row r="441" spans="1:23" ht="45" x14ac:dyDescent="0.15">
      <c r="A441" s="10" t="s">
        <v>2314</v>
      </c>
      <c r="B441" s="9" t="s">
        <v>2731</v>
      </c>
      <c r="C441" s="8" t="s">
        <v>1447</v>
      </c>
      <c r="D441" s="5"/>
      <c r="E441" s="4" t="s">
        <v>28</v>
      </c>
      <c r="F441" s="4" t="s">
        <v>1109</v>
      </c>
      <c r="G441" s="7">
        <v>43059</v>
      </c>
      <c r="H441" s="6" t="s">
        <v>951</v>
      </c>
      <c r="I441" s="5" t="s">
        <v>1587</v>
      </c>
      <c r="J441" s="5"/>
      <c r="K441" s="7"/>
      <c r="L441" s="6"/>
      <c r="M441" s="5"/>
      <c r="Q441" s="3">
        <f t="shared" ref="Q441:Q448" si="310">IF($Q$6&gt;=G441,0)</f>
        <v>0</v>
      </c>
      <c r="R441" s="3">
        <f t="shared" ref="R441:R448" si="311">IF($R$6&gt;=G441,0)</f>
        <v>0</v>
      </c>
      <c r="S441" s="3">
        <f t="shared" ref="S441:S443" si="312">IF($S$6&gt;=G441,0)</f>
        <v>0</v>
      </c>
      <c r="T441" s="3">
        <f t="shared" ref="T441:T448" si="313">IF($T$6&gt;=G441,0)</f>
        <v>0</v>
      </c>
      <c r="U441" s="3">
        <f t="shared" ref="U441:U448" si="314">IF($U$6&gt;=G441,0)</f>
        <v>0</v>
      </c>
      <c r="V441" s="3">
        <f t="shared" ref="V441:V448" si="315">IF($V$6&gt;=G441,0)</f>
        <v>0</v>
      </c>
      <c r="W441">
        <f t="shared" ref="W441:W448" si="316">IF($W$6&gt;=G441,0)</f>
        <v>0</v>
      </c>
    </row>
    <row r="442" spans="1:23" ht="45" x14ac:dyDescent="0.15">
      <c r="A442" s="10" t="s">
        <v>1711</v>
      </c>
      <c r="B442" s="9" t="s">
        <v>704</v>
      </c>
      <c r="C442" s="8" t="s">
        <v>1447</v>
      </c>
      <c r="D442" s="5"/>
      <c r="E442" s="4" t="s">
        <v>404</v>
      </c>
      <c r="F442" s="4" t="s">
        <v>1023</v>
      </c>
      <c r="G442" s="7">
        <v>43059</v>
      </c>
      <c r="H442" s="6" t="s">
        <v>951</v>
      </c>
      <c r="I442" s="5" t="s">
        <v>1587</v>
      </c>
      <c r="J442" s="5"/>
      <c r="K442" s="7"/>
      <c r="L442" s="6"/>
      <c r="M442" s="5"/>
      <c r="Q442" s="3">
        <f t="shared" si="310"/>
        <v>0</v>
      </c>
      <c r="R442" s="3">
        <f t="shared" si="311"/>
        <v>0</v>
      </c>
      <c r="S442" s="3">
        <f t="shared" si="312"/>
        <v>0</v>
      </c>
      <c r="T442" s="3">
        <f t="shared" si="313"/>
        <v>0</v>
      </c>
      <c r="U442" s="3">
        <f t="shared" si="314"/>
        <v>0</v>
      </c>
      <c r="V442" s="3">
        <f t="shared" si="315"/>
        <v>0</v>
      </c>
      <c r="W442">
        <f t="shared" si="316"/>
        <v>0</v>
      </c>
    </row>
    <row r="443" spans="1:23" ht="33.75" x14ac:dyDescent="0.15">
      <c r="A443" s="10" t="s">
        <v>1664</v>
      </c>
      <c r="B443" s="9" t="s">
        <v>301</v>
      </c>
      <c r="C443" s="8" t="s">
        <v>1447</v>
      </c>
      <c r="D443" s="5"/>
      <c r="E443" s="4" t="s">
        <v>361</v>
      </c>
      <c r="F443" s="4" t="s">
        <v>293</v>
      </c>
      <c r="G443" s="7">
        <v>43059</v>
      </c>
      <c r="H443" s="6" t="s">
        <v>951</v>
      </c>
      <c r="I443" s="5" t="s">
        <v>1587</v>
      </c>
      <c r="J443" s="5"/>
      <c r="K443" s="7"/>
      <c r="L443" s="6"/>
      <c r="M443" s="5"/>
      <c r="Q443" s="3">
        <f t="shared" si="310"/>
        <v>0</v>
      </c>
      <c r="R443" s="3">
        <f t="shared" si="311"/>
        <v>0</v>
      </c>
      <c r="S443" s="3">
        <f t="shared" si="312"/>
        <v>0</v>
      </c>
      <c r="T443" s="3">
        <f t="shared" si="313"/>
        <v>0</v>
      </c>
      <c r="U443" s="3">
        <f t="shared" si="314"/>
        <v>0</v>
      </c>
      <c r="V443" s="3">
        <f t="shared" si="315"/>
        <v>0</v>
      </c>
      <c r="W443">
        <f t="shared" si="316"/>
        <v>0</v>
      </c>
    </row>
    <row r="444" spans="1:23" ht="25.5" x14ac:dyDescent="0.15">
      <c r="A444" s="10" t="s">
        <v>1998</v>
      </c>
      <c r="B444" s="9" t="s">
        <v>215</v>
      </c>
      <c r="C444" s="8" t="s">
        <v>1447</v>
      </c>
      <c r="D444" s="5"/>
      <c r="E444" s="4"/>
      <c r="F444" s="4"/>
      <c r="G444" s="7">
        <v>43112</v>
      </c>
      <c r="H444" s="6"/>
      <c r="I444" s="5" t="s">
        <v>1573</v>
      </c>
      <c r="J444" s="5"/>
      <c r="K444" s="7"/>
      <c r="L444" s="6"/>
      <c r="M444" s="5"/>
      <c r="N444" s="2" t="s">
        <v>1568</v>
      </c>
      <c r="Q444" s="3" t="b">
        <f t="shared" si="310"/>
        <v>0</v>
      </c>
      <c r="R444" s="3" t="b">
        <f t="shared" si="311"/>
        <v>0</v>
      </c>
      <c r="T444" s="3" t="b">
        <f t="shared" si="313"/>
        <v>0</v>
      </c>
      <c r="U444" s="3" t="b">
        <f t="shared" si="314"/>
        <v>0</v>
      </c>
      <c r="V444" s="3">
        <f t="shared" si="315"/>
        <v>0</v>
      </c>
      <c r="W444">
        <f t="shared" si="316"/>
        <v>0</v>
      </c>
    </row>
    <row r="445" spans="1:23" ht="33.75" x14ac:dyDescent="0.15">
      <c r="A445" s="10" t="s">
        <v>1746</v>
      </c>
      <c r="B445" s="9" t="s">
        <v>277</v>
      </c>
      <c r="C445" s="8" t="s">
        <v>1447</v>
      </c>
      <c r="D445" s="5"/>
      <c r="E445" s="4" t="s">
        <v>381</v>
      </c>
      <c r="F445" s="4" t="s">
        <v>318</v>
      </c>
      <c r="G445" s="7">
        <v>43104</v>
      </c>
      <c r="H445" s="6" t="s">
        <v>951</v>
      </c>
      <c r="I445" s="5" t="s">
        <v>1587</v>
      </c>
      <c r="J445" s="5"/>
      <c r="K445" s="7"/>
      <c r="L445" s="6"/>
      <c r="M445" s="5"/>
      <c r="Q445" s="3" t="b">
        <f t="shared" si="310"/>
        <v>0</v>
      </c>
      <c r="R445" s="3" t="b">
        <f t="shared" si="311"/>
        <v>0</v>
      </c>
      <c r="T445" s="3" t="b">
        <f t="shared" si="313"/>
        <v>0</v>
      </c>
      <c r="U445" s="3">
        <f t="shared" si="314"/>
        <v>0</v>
      </c>
      <c r="V445" s="3">
        <f t="shared" si="315"/>
        <v>0</v>
      </c>
      <c r="W445">
        <f t="shared" si="316"/>
        <v>0</v>
      </c>
    </row>
    <row r="446" spans="1:23" ht="25.5" x14ac:dyDescent="0.15">
      <c r="A446" s="10" t="s">
        <v>1727</v>
      </c>
      <c r="B446" s="9" t="s">
        <v>252</v>
      </c>
      <c r="C446" s="8" t="s">
        <v>1447</v>
      </c>
      <c r="D446" s="5"/>
      <c r="E446" s="4"/>
      <c r="F446" s="4"/>
      <c r="G446" s="7">
        <v>43112</v>
      </c>
      <c r="H446" s="6"/>
      <c r="I446" s="5" t="s">
        <v>1573</v>
      </c>
      <c r="J446" s="5"/>
      <c r="K446" s="7"/>
      <c r="L446" s="6"/>
      <c r="M446" s="5"/>
      <c r="N446" s="2" t="s">
        <v>1568</v>
      </c>
      <c r="Q446" s="3" t="b">
        <f t="shared" si="310"/>
        <v>0</v>
      </c>
      <c r="R446" s="3" t="b">
        <f t="shared" si="311"/>
        <v>0</v>
      </c>
      <c r="T446" s="3" t="b">
        <f t="shared" si="313"/>
        <v>0</v>
      </c>
      <c r="U446" s="3" t="b">
        <f t="shared" si="314"/>
        <v>0</v>
      </c>
      <c r="V446" s="3">
        <f t="shared" si="315"/>
        <v>0</v>
      </c>
      <c r="W446">
        <f t="shared" si="316"/>
        <v>0</v>
      </c>
    </row>
    <row r="447" spans="1:23" ht="33.75" x14ac:dyDescent="0.15">
      <c r="A447" s="10" t="s">
        <v>2599</v>
      </c>
      <c r="B447" s="9" t="s">
        <v>154</v>
      </c>
      <c r="C447" s="8" t="s">
        <v>1447</v>
      </c>
      <c r="D447" s="5"/>
      <c r="E447" s="4" t="s">
        <v>390</v>
      </c>
      <c r="F447" s="4" t="s">
        <v>174</v>
      </c>
      <c r="G447" s="7">
        <v>43059</v>
      </c>
      <c r="H447" s="6" t="s">
        <v>951</v>
      </c>
      <c r="I447" s="5" t="s">
        <v>1587</v>
      </c>
      <c r="J447" s="5"/>
      <c r="K447" s="7"/>
      <c r="L447" s="6"/>
      <c r="M447" s="5"/>
      <c r="Q447" s="3">
        <f t="shared" si="310"/>
        <v>0</v>
      </c>
      <c r="R447" s="3">
        <f t="shared" si="311"/>
        <v>0</v>
      </c>
      <c r="S447" s="3">
        <f>IF($S$6&gt;=G447,0)</f>
        <v>0</v>
      </c>
      <c r="T447" s="3">
        <f t="shared" si="313"/>
        <v>0</v>
      </c>
      <c r="U447" s="3">
        <f t="shared" si="314"/>
        <v>0</v>
      </c>
      <c r="V447" s="3">
        <f t="shared" si="315"/>
        <v>0</v>
      </c>
      <c r="W447">
        <f t="shared" si="316"/>
        <v>0</v>
      </c>
    </row>
    <row r="448" spans="1:23" ht="25.5" x14ac:dyDescent="0.15">
      <c r="A448" s="10" t="s">
        <v>1880</v>
      </c>
      <c r="B448" s="9" t="s">
        <v>264</v>
      </c>
      <c r="C448" s="8" t="s">
        <v>1447</v>
      </c>
      <c r="D448" s="5"/>
      <c r="E448" s="4"/>
      <c r="F448" s="4"/>
      <c r="G448" s="7">
        <v>43112</v>
      </c>
      <c r="H448" s="6"/>
      <c r="I448" s="5" t="s">
        <v>1573</v>
      </c>
      <c r="J448" s="5"/>
      <c r="K448" s="7"/>
      <c r="L448" s="6"/>
      <c r="M448" s="5"/>
      <c r="N448" s="2" t="s">
        <v>1568</v>
      </c>
      <c r="Q448" s="3" t="b">
        <f t="shared" si="310"/>
        <v>0</v>
      </c>
      <c r="R448" s="3" t="b">
        <f t="shared" si="311"/>
        <v>0</v>
      </c>
      <c r="T448" s="3" t="b">
        <f t="shared" si="313"/>
        <v>0</v>
      </c>
      <c r="U448" s="3" t="b">
        <f t="shared" si="314"/>
        <v>0</v>
      </c>
      <c r="V448" s="3">
        <f t="shared" si="315"/>
        <v>0</v>
      </c>
      <c r="W448">
        <f t="shared" si="316"/>
        <v>0</v>
      </c>
    </row>
    <row r="449" spans="1:23" ht="25.5" x14ac:dyDescent="0.15">
      <c r="A449" s="16" t="s">
        <v>935</v>
      </c>
      <c r="B449" s="129" t="s">
        <v>803</v>
      </c>
      <c r="C449" s="130"/>
      <c r="D449" s="15" t="s">
        <v>1011</v>
      </c>
      <c r="E449" s="9" t="s">
        <v>336</v>
      </c>
      <c r="F449" s="13" t="s">
        <v>2495</v>
      </c>
      <c r="G449" s="131" t="s">
        <v>1508</v>
      </c>
      <c r="H449" s="132"/>
      <c r="I449" s="132"/>
      <c r="J449" s="132"/>
      <c r="K449" s="132"/>
      <c r="L449" s="132"/>
      <c r="M449" s="133"/>
    </row>
    <row r="450" spans="1:23" x14ac:dyDescent="0.15">
      <c r="A450" s="134" t="s">
        <v>977</v>
      </c>
      <c r="B450" s="136" t="s">
        <v>920</v>
      </c>
      <c r="C450" s="138" t="s">
        <v>1008</v>
      </c>
      <c r="D450" s="140" t="s">
        <v>1009</v>
      </c>
      <c r="E450" s="142" t="s">
        <v>2118</v>
      </c>
      <c r="F450" s="142" t="s">
        <v>1849</v>
      </c>
      <c r="G450" s="144" t="s">
        <v>994</v>
      </c>
      <c r="H450" s="145"/>
      <c r="I450" s="145"/>
      <c r="J450" s="146"/>
      <c r="K450" s="144" t="s">
        <v>982</v>
      </c>
      <c r="L450" s="145"/>
      <c r="M450" s="147"/>
    </row>
    <row r="451" spans="1:23" x14ac:dyDescent="0.15">
      <c r="A451" s="135"/>
      <c r="B451" s="137"/>
      <c r="C451" s="139"/>
      <c r="D451" s="141"/>
      <c r="E451" s="143"/>
      <c r="F451" s="143"/>
      <c r="G451" s="12" t="s">
        <v>1588</v>
      </c>
      <c r="H451" s="12" t="s">
        <v>1578</v>
      </c>
      <c r="I451" s="12" t="s">
        <v>1562</v>
      </c>
      <c r="J451" s="12" t="s">
        <v>1007</v>
      </c>
      <c r="K451" s="12" t="s">
        <v>1588</v>
      </c>
      <c r="L451" s="12" t="s">
        <v>1578</v>
      </c>
      <c r="M451" s="11" t="s">
        <v>1562</v>
      </c>
    </row>
    <row r="452" spans="1:23" ht="25.5" x14ac:dyDescent="0.15">
      <c r="A452" s="10" t="s">
        <v>2353</v>
      </c>
      <c r="B452" s="9" t="s">
        <v>336</v>
      </c>
      <c r="C452" s="8" t="s">
        <v>1447</v>
      </c>
      <c r="D452" s="5" t="s">
        <v>746</v>
      </c>
      <c r="E452" s="4" t="s">
        <v>386</v>
      </c>
      <c r="F452" s="4" t="s">
        <v>588</v>
      </c>
      <c r="G452" s="7">
        <v>43091</v>
      </c>
      <c r="H452" s="6" t="s">
        <v>951</v>
      </c>
      <c r="I452" s="5" t="s">
        <v>1570</v>
      </c>
      <c r="J452" s="5"/>
      <c r="K452" s="7"/>
      <c r="L452" s="6"/>
      <c r="M452" s="5"/>
      <c r="N452" s="32"/>
      <c r="Q452" s="3" t="b">
        <f>IF($Q$6&gt;=G452,0)</f>
        <v>0</v>
      </c>
      <c r="R452" s="3">
        <f>IF($R$6&gt;=G452,0)</f>
        <v>0</v>
      </c>
      <c r="S452" s="3">
        <f>IF($S$6&gt;=G452,0)</f>
        <v>0</v>
      </c>
      <c r="T452" s="3">
        <f>IF($T$6&gt;=G452,0)</f>
        <v>0</v>
      </c>
      <c r="U452" s="3">
        <f>IF($U$6&gt;=G452,0)</f>
        <v>0</v>
      </c>
      <c r="V452" s="3">
        <f>IF($V$6&gt;=G452,0)</f>
        <v>0</v>
      </c>
      <c r="W452">
        <f>IF($W$6&gt;=G452,0)</f>
        <v>0</v>
      </c>
    </row>
    <row r="453" spans="1:23" ht="22.5" x14ac:dyDescent="0.15">
      <c r="A453" s="16" t="s">
        <v>935</v>
      </c>
      <c r="B453" s="56" t="s">
        <v>554</v>
      </c>
      <c r="C453" s="8"/>
      <c r="D453" s="15" t="s">
        <v>1011</v>
      </c>
      <c r="E453" s="14" t="s">
        <v>1146</v>
      </c>
      <c r="F453" s="13" t="s">
        <v>2495</v>
      </c>
      <c r="G453" s="63" t="s">
        <v>1508</v>
      </c>
      <c r="H453" s="6"/>
      <c r="I453" s="5"/>
      <c r="J453" s="5"/>
      <c r="K453" s="7"/>
      <c r="L453" s="6"/>
      <c r="M453" s="5"/>
    </row>
    <row r="454" spans="1:23" x14ac:dyDescent="0.15">
      <c r="A454" s="58" t="s">
        <v>977</v>
      </c>
      <c r="B454" s="59" t="s">
        <v>920</v>
      </c>
      <c r="C454" s="60" t="s">
        <v>1008</v>
      </c>
      <c r="D454" s="61" t="s">
        <v>1009</v>
      </c>
      <c r="E454" s="62" t="s">
        <v>2118</v>
      </c>
      <c r="F454" s="62" t="s">
        <v>1849</v>
      </c>
      <c r="G454" s="57" t="s">
        <v>994</v>
      </c>
      <c r="H454" s="6"/>
      <c r="I454" s="5"/>
      <c r="J454" s="5"/>
      <c r="K454" s="57" t="s">
        <v>982</v>
      </c>
      <c r="L454" s="6"/>
      <c r="M454" s="5"/>
    </row>
    <row r="455" spans="1:23" x14ac:dyDescent="0.15">
      <c r="A455" s="35"/>
      <c r="B455" s="59"/>
      <c r="C455" s="60"/>
      <c r="D455" s="61"/>
      <c r="E455" s="62"/>
      <c r="F455" s="62"/>
      <c r="G455" s="12" t="s">
        <v>1588</v>
      </c>
      <c r="H455" s="12" t="s">
        <v>1578</v>
      </c>
      <c r="I455" s="12" t="s">
        <v>1562</v>
      </c>
      <c r="J455" s="12" t="s">
        <v>1007</v>
      </c>
      <c r="K455" s="12" t="s">
        <v>1588</v>
      </c>
      <c r="L455" s="12" t="s">
        <v>1578</v>
      </c>
      <c r="M455" s="11" t="s">
        <v>1562</v>
      </c>
    </row>
    <row r="456" spans="1:23" ht="78.75" x14ac:dyDescent="0.15">
      <c r="A456" s="10" t="s">
        <v>2009</v>
      </c>
      <c r="B456" s="9" t="s">
        <v>757</v>
      </c>
      <c r="C456" s="8" t="s">
        <v>1447</v>
      </c>
      <c r="D456" s="5" t="s">
        <v>1015</v>
      </c>
      <c r="E456" s="4" t="s">
        <v>58</v>
      </c>
      <c r="F456" s="4" t="s">
        <v>1390</v>
      </c>
      <c r="G456" s="7">
        <v>43068</v>
      </c>
      <c r="H456" s="6" t="s">
        <v>951</v>
      </c>
      <c r="I456" s="5" t="s">
        <v>1579</v>
      </c>
      <c r="J456" s="5"/>
      <c r="K456" s="7"/>
      <c r="L456" s="6"/>
      <c r="M456" s="5"/>
      <c r="N456" s="32"/>
      <c r="Q456" s="3">
        <f t="shared" ref="Q456:Q473" si="317">IF($Q$6&gt;=G456,0)</f>
        <v>0</v>
      </c>
      <c r="R456" s="3">
        <f t="shared" ref="R456:R473" si="318">IF($R$6&gt;=G456,0)</f>
        <v>0</v>
      </c>
      <c r="S456" s="3">
        <f t="shared" ref="S456:S473" si="319">IF($S$6&gt;=G456,0)</f>
        <v>0</v>
      </c>
      <c r="T456" s="3">
        <f t="shared" ref="T456:T473" si="320">IF($T$6&gt;=G456,0)</f>
        <v>0</v>
      </c>
      <c r="U456" s="3">
        <f t="shared" ref="U456:U473" si="321">IF($U$6&gt;=G456,0)</f>
        <v>0</v>
      </c>
      <c r="V456" s="3">
        <f t="shared" ref="V456:V473" si="322">IF($V$6&gt;=G456,0)</f>
        <v>0</v>
      </c>
      <c r="W456">
        <f t="shared" ref="W456:W473" si="323">IF($W$6&gt;=G456,0)</f>
        <v>0</v>
      </c>
    </row>
    <row r="457" spans="1:23" ht="67.5" x14ac:dyDescent="0.15">
      <c r="A457" s="10" t="s">
        <v>1997</v>
      </c>
      <c r="B457" s="9" t="s">
        <v>1317</v>
      </c>
      <c r="C457" s="8" t="s">
        <v>1447</v>
      </c>
      <c r="D457" s="5" t="s">
        <v>1015</v>
      </c>
      <c r="E457" s="4" t="s">
        <v>13</v>
      </c>
      <c r="F457" s="4" t="s">
        <v>703</v>
      </c>
      <c r="G457" s="7">
        <v>43068</v>
      </c>
      <c r="H457" s="6" t="s">
        <v>951</v>
      </c>
      <c r="I457" s="5" t="s">
        <v>1579</v>
      </c>
      <c r="J457" s="5"/>
      <c r="K457" s="7"/>
      <c r="L457" s="6"/>
      <c r="M457" s="5"/>
      <c r="Q457" s="3">
        <f t="shared" si="317"/>
        <v>0</v>
      </c>
      <c r="R457" s="3">
        <f t="shared" si="318"/>
        <v>0</v>
      </c>
      <c r="S457" s="3">
        <f t="shared" si="319"/>
        <v>0</v>
      </c>
      <c r="T457" s="3">
        <f t="shared" si="320"/>
        <v>0</v>
      </c>
      <c r="U457" s="3">
        <f t="shared" si="321"/>
        <v>0</v>
      </c>
      <c r="V457" s="3">
        <f t="shared" si="322"/>
        <v>0</v>
      </c>
      <c r="W457">
        <f t="shared" si="323"/>
        <v>0</v>
      </c>
    </row>
    <row r="458" spans="1:23" ht="67.5" x14ac:dyDescent="0.15">
      <c r="A458" s="10" t="s">
        <v>1938</v>
      </c>
      <c r="B458" s="9" t="s">
        <v>1191</v>
      </c>
      <c r="C458" s="8" t="s">
        <v>1447</v>
      </c>
      <c r="D458" s="5" t="s">
        <v>1015</v>
      </c>
      <c r="E458" s="4" t="s">
        <v>1</v>
      </c>
      <c r="F458" s="4" t="s">
        <v>785</v>
      </c>
      <c r="G458" s="7">
        <v>43068</v>
      </c>
      <c r="H458" s="6" t="s">
        <v>951</v>
      </c>
      <c r="I458" s="5" t="s">
        <v>1579</v>
      </c>
      <c r="J458" s="5"/>
      <c r="K458" s="7"/>
      <c r="L458" s="6"/>
      <c r="M458" s="5"/>
      <c r="Q458" s="3">
        <f t="shared" si="317"/>
        <v>0</v>
      </c>
      <c r="R458" s="3">
        <f t="shared" si="318"/>
        <v>0</v>
      </c>
      <c r="S458" s="3">
        <f t="shared" si="319"/>
        <v>0</v>
      </c>
      <c r="T458" s="3">
        <f t="shared" si="320"/>
        <v>0</v>
      </c>
      <c r="U458" s="3">
        <f t="shared" si="321"/>
        <v>0</v>
      </c>
      <c r="V458" s="3">
        <f t="shared" si="322"/>
        <v>0</v>
      </c>
      <c r="W458">
        <f t="shared" si="323"/>
        <v>0</v>
      </c>
    </row>
    <row r="459" spans="1:23" ht="78.75" x14ac:dyDescent="0.15">
      <c r="A459" s="10" t="s">
        <v>2002</v>
      </c>
      <c r="B459" s="9" t="s">
        <v>1214</v>
      </c>
      <c r="C459" s="8" t="s">
        <v>1447</v>
      </c>
      <c r="D459" s="5" t="s">
        <v>926</v>
      </c>
      <c r="E459" s="4" t="s">
        <v>55</v>
      </c>
      <c r="F459" s="4" t="s">
        <v>1381</v>
      </c>
      <c r="G459" s="7">
        <v>43068</v>
      </c>
      <c r="H459" s="6" t="s">
        <v>951</v>
      </c>
      <c r="I459" s="5" t="s">
        <v>1579</v>
      </c>
      <c r="J459" s="5"/>
      <c r="K459" s="7"/>
      <c r="L459" s="6"/>
      <c r="M459" s="5"/>
      <c r="Q459" s="3">
        <f t="shared" si="317"/>
        <v>0</v>
      </c>
      <c r="R459" s="3">
        <f t="shared" si="318"/>
        <v>0</v>
      </c>
      <c r="S459" s="3">
        <f t="shared" si="319"/>
        <v>0</v>
      </c>
      <c r="T459" s="3">
        <f t="shared" si="320"/>
        <v>0</v>
      </c>
      <c r="U459" s="3">
        <f t="shared" si="321"/>
        <v>0</v>
      </c>
      <c r="V459" s="3">
        <f t="shared" si="322"/>
        <v>0</v>
      </c>
      <c r="W459">
        <f t="shared" si="323"/>
        <v>0</v>
      </c>
    </row>
    <row r="460" spans="1:23" ht="67.5" x14ac:dyDescent="0.15">
      <c r="A460" s="10" t="s">
        <v>1992</v>
      </c>
      <c r="B460" s="9" t="s">
        <v>1217</v>
      </c>
      <c r="C460" s="8" t="s">
        <v>1447</v>
      </c>
      <c r="D460" s="5" t="s">
        <v>926</v>
      </c>
      <c r="E460" s="4" t="s">
        <v>18</v>
      </c>
      <c r="F460" s="4" t="s">
        <v>698</v>
      </c>
      <c r="G460" s="7">
        <v>43068</v>
      </c>
      <c r="H460" s="6" t="s">
        <v>951</v>
      </c>
      <c r="I460" s="5" t="s">
        <v>1579</v>
      </c>
      <c r="J460" s="5"/>
      <c r="K460" s="7"/>
      <c r="L460" s="6"/>
      <c r="M460" s="5"/>
      <c r="Q460" s="3">
        <f t="shared" si="317"/>
        <v>0</v>
      </c>
      <c r="R460" s="3">
        <f t="shared" si="318"/>
        <v>0</v>
      </c>
      <c r="S460" s="3">
        <f t="shared" si="319"/>
        <v>0</v>
      </c>
      <c r="T460" s="3">
        <f t="shared" si="320"/>
        <v>0</v>
      </c>
      <c r="U460" s="3">
        <f t="shared" si="321"/>
        <v>0</v>
      </c>
      <c r="V460" s="3">
        <f t="shared" si="322"/>
        <v>0</v>
      </c>
      <c r="W460">
        <f t="shared" si="323"/>
        <v>0</v>
      </c>
    </row>
    <row r="461" spans="1:23" ht="67.5" x14ac:dyDescent="0.15">
      <c r="A461" s="10" t="s">
        <v>2070</v>
      </c>
      <c r="B461" s="9" t="s">
        <v>759</v>
      </c>
      <c r="C461" s="8" t="s">
        <v>1447</v>
      </c>
      <c r="D461" s="5" t="s">
        <v>926</v>
      </c>
      <c r="E461" s="4" t="s">
        <v>6</v>
      </c>
      <c r="F461" s="4" t="s">
        <v>782</v>
      </c>
      <c r="G461" s="7">
        <v>43068</v>
      </c>
      <c r="H461" s="6" t="s">
        <v>951</v>
      </c>
      <c r="I461" s="5" t="s">
        <v>1579</v>
      </c>
      <c r="J461" s="5"/>
      <c r="K461" s="7"/>
      <c r="L461" s="6"/>
      <c r="M461" s="5"/>
      <c r="Q461" s="3">
        <f t="shared" si="317"/>
        <v>0</v>
      </c>
      <c r="R461" s="3">
        <f t="shared" si="318"/>
        <v>0</v>
      </c>
      <c r="S461" s="3">
        <f t="shared" si="319"/>
        <v>0</v>
      </c>
      <c r="T461" s="3">
        <f t="shared" si="320"/>
        <v>0</v>
      </c>
      <c r="U461" s="3">
        <f t="shared" si="321"/>
        <v>0</v>
      </c>
      <c r="V461" s="3">
        <f t="shared" si="322"/>
        <v>0</v>
      </c>
      <c r="W461">
        <f t="shared" si="323"/>
        <v>0</v>
      </c>
    </row>
    <row r="462" spans="1:23" ht="78.75" x14ac:dyDescent="0.15">
      <c r="A462" s="10" t="s">
        <v>2214</v>
      </c>
      <c r="B462" s="9" t="s">
        <v>1276</v>
      </c>
      <c r="C462" s="8" t="s">
        <v>1447</v>
      </c>
      <c r="D462" s="5" t="s">
        <v>930</v>
      </c>
      <c r="E462" s="4" t="s">
        <v>53</v>
      </c>
      <c r="F462" s="4" t="s">
        <v>1378</v>
      </c>
      <c r="G462" s="7">
        <v>43068</v>
      </c>
      <c r="H462" s="6" t="s">
        <v>951</v>
      </c>
      <c r="I462" s="5" t="s">
        <v>1579</v>
      </c>
      <c r="J462" s="5"/>
      <c r="K462" s="7"/>
      <c r="L462" s="6"/>
      <c r="M462" s="5"/>
      <c r="Q462" s="3">
        <f t="shared" si="317"/>
        <v>0</v>
      </c>
      <c r="R462" s="3">
        <f t="shared" si="318"/>
        <v>0</v>
      </c>
      <c r="S462" s="3">
        <f t="shared" si="319"/>
        <v>0</v>
      </c>
      <c r="T462" s="3">
        <f t="shared" si="320"/>
        <v>0</v>
      </c>
      <c r="U462" s="3">
        <f t="shared" si="321"/>
        <v>0</v>
      </c>
      <c r="V462" s="3">
        <f t="shared" si="322"/>
        <v>0</v>
      </c>
      <c r="W462">
        <f t="shared" si="323"/>
        <v>0</v>
      </c>
    </row>
    <row r="463" spans="1:23" ht="67.5" x14ac:dyDescent="0.15">
      <c r="A463" s="10" t="s">
        <v>2210</v>
      </c>
      <c r="B463" s="9" t="s">
        <v>1278</v>
      </c>
      <c r="C463" s="8" t="s">
        <v>1447</v>
      </c>
      <c r="D463" s="5" t="s">
        <v>930</v>
      </c>
      <c r="E463" s="4" t="s">
        <v>4</v>
      </c>
      <c r="F463" s="4" t="s">
        <v>702</v>
      </c>
      <c r="G463" s="7">
        <v>43068</v>
      </c>
      <c r="H463" s="6" t="s">
        <v>951</v>
      </c>
      <c r="I463" s="5" t="s">
        <v>1579</v>
      </c>
      <c r="J463" s="5"/>
      <c r="K463" s="7"/>
      <c r="L463" s="6"/>
      <c r="M463" s="5"/>
      <c r="Q463" s="3">
        <f t="shared" si="317"/>
        <v>0</v>
      </c>
      <c r="R463" s="3">
        <f t="shared" si="318"/>
        <v>0</v>
      </c>
      <c r="S463" s="3">
        <f t="shared" si="319"/>
        <v>0</v>
      </c>
      <c r="T463" s="3">
        <f t="shared" si="320"/>
        <v>0</v>
      </c>
      <c r="U463" s="3">
        <f t="shared" si="321"/>
        <v>0</v>
      </c>
      <c r="V463" s="3">
        <f t="shared" si="322"/>
        <v>0</v>
      </c>
      <c r="W463">
        <f t="shared" si="323"/>
        <v>0</v>
      </c>
    </row>
    <row r="464" spans="1:23" ht="67.5" x14ac:dyDescent="0.15">
      <c r="A464" s="10" t="s">
        <v>1985</v>
      </c>
      <c r="B464" s="9" t="s">
        <v>1295</v>
      </c>
      <c r="C464" s="8" t="s">
        <v>1447</v>
      </c>
      <c r="D464" s="5" t="s">
        <v>930</v>
      </c>
      <c r="E464" s="4" t="s">
        <v>10</v>
      </c>
      <c r="F464" s="4" t="s">
        <v>699</v>
      </c>
      <c r="G464" s="7">
        <v>43068</v>
      </c>
      <c r="H464" s="6" t="s">
        <v>951</v>
      </c>
      <c r="I464" s="5" t="s">
        <v>1579</v>
      </c>
      <c r="J464" s="5"/>
      <c r="K464" s="7"/>
      <c r="L464" s="6"/>
      <c r="M464" s="5"/>
      <c r="Q464" s="3">
        <f t="shared" si="317"/>
        <v>0</v>
      </c>
      <c r="R464" s="3">
        <f t="shared" si="318"/>
        <v>0</v>
      </c>
      <c r="S464" s="3">
        <f t="shared" si="319"/>
        <v>0</v>
      </c>
      <c r="T464" s="3">
        <f t="shared" si="320"/>
        <v>0</v>
      </c>
      <c r="U464" s="3">
        <f t="shared" si="321"/>
        <v>0</v>
      </c>
      <c r="V464" s="3">
        <f t="shared" si="322"/>
        <v>0</v>
      </c>
      <c r="W464">
        <f t="shared" si="323"/>
        <v>0</v>
      </c>
    </row>
    <row r="465" spans="1:23" ht="78.75" x14ac:dyDescent="0.15">
      <c r="A465" s="10" t="s">
        <v>1684</v>
      </c>
      <c r="B465" s="9" t="s">
        <v>1219</v>
      </c>
      <c r="C465" s="8" t="s">
        <v>1447</v>
      </c>
      <c r="D465" s="5" t="s">
        <v>937</v>
      </c>
      <c r="E465" s="4" t="s">
        <v>62</v>
      </c>
      <c r="F465" s="4" t="s">
        <v>1379</v>
      </c>
      <c r="G465" s="7">
        <v>43068</v>
      </c>
      <c r="H465" s="6" t="s">
        <v>951</v>
      </c>
      <c r="I465" s="5" t="s">
        <v>1579</v>
      </c>
      <c r="J465" s="5"/>
      <c r="K465" s="7"/>
      <c r="L465" s="6"/>
      <c r="M465" s="5"/>
      <c r="Q465" s="3">
        <f t="shared" si="317"/>
        <v>0</v>
      </c>
      <c r="R465" s="3">
        <f t="shared" si="318"/>
        <v>0</v>
      </c>
      <c r="S465" s="3">
        <f t="shared" si="319"/>
        <v>0</v>
      </c>
      <c r="T465" s="3">
        <f t="shared" si="320"/>
        <v>0</v>
      </c>
      <c r="U465" s="3">
        <f t="shared" si="321"/>
        <v>0</v>
      </c>
      <c r="V465" s="3">
        <f t="shared" si="322"/>
        <v>0</v>
      </c>
      <c r="W465">
        <f t="shared" si="323"/>
        <v>0</v>
      </c>
    </row>
    <row r="466" spans="1:23" ht="67.5" x14ac:dyDescent="0.15">
      <c r="A466" s="10" t="s">
        <v>1776</v>
      </c>
      <c r="B466" s="9" t="s">
        <v>741</v>
      </c>
      <c r="C466" s="8" t="s">
        <v>1447</v>
      </c>
      <c r="D466" s="5" t="s">
        <v>937</v>
      </c>
      <c r="E466" s="4" t="s">
        <v>2</v>
      </c>
      <c r="F466" s="4" t="s">
        <v>780</v>
      </c>
      <c r="G466" s="7">
        <v>43068</v>
      </c>
      <c r="H466" s="6" t="s">
        <v>951</v>
      </c>
      <c r="I466" s="5" t="s">
        <v>1579</v>
      </c>
      <c r="J466" s="5"/>
      <c r="K466" s="7"/>
      <c r="L466" s="6"/>
      <c r="M466" s="5"/>
      <c r="Q466" s="3">
        <f t="shared" si="317"/>
        <v>0</v>
      </c>
      <c r="R466" s="3">
        <f t="shared" si="318"/>
        <v>0</v>
      </c>
      <c r="S466" s="3">
        <f t="shared" si="319"/>
        <v>0</v>
      </c>
      <c r="T466" s="3">
        <f t="shared" si="320"/>
        <v>0</v>
      </c>
      <c r="U466" s="3">
        <f t="shared" si="321"/>
        <v>0</v>
      </c>
      <c r="V466" s="3">
        <f t="shared" si="322"/>
        <v>0</v>
      </c>
      <c r="W466">
        <f t="shared" si="323"/>
        <v>0</v>
      </c>
    </row>
    <row r="467" spans="1:23" ht="67.5" x14ac:dyDescent="0.15">
      <c r="A467" s="10" t="s">
        <v>1704</v>
      </c>
      <c r="B467" s="9" t="s">
        <v>1319</v>
      </c>
      <c r="C467" s="8" t="s">
        <v>1447</v>
      </c>
      <c r="D467" s="5" t="s">
        <v>937</v>
      </c>
      <c r="E467" s="4" t="s">
        <v>7</v>
      </c>
      <c r="F467" s="4" t="s">
        <v>787</v>
      </c>
      <c r="G467" s="7">
        <v>43068</v>
      </c>
      <c r="H467" s="6" t="s">
        <v>951</v>
      </c>
      <c r="I467" s="5" t="s">
        <v>1579</v>
      </c>
      <c r="J467" s="5"/>
      <c r="K467" s="7"/>
      <c r="L467" s="6"/>
      <c r="M467" s="5"/>
      <c r="Q467" s="3">
        <f t="shared" si="317"/>
        <v>0</v>
      </c>
      <c r="R467" s="3">
        <f t="shared" si="318"/>
        <v>0</v>
      </c>
      <c r="S467" s="3">
        <f t="shared" si="319"/>
        <v>0</v>
      </c>
      <c r="T467" s="3">
        <f t="shared" si="320"/>
        <v>0</v>
      </c>
      <c r="U467" s="3">
        <f t="shared" si="321"/>
        <v>0</v>
      </c>
      <c r="V467" s="3">
        <f t="shared" si="322"/>
        <v>0</v>
      </c>
      <c r="W467">
        <f t="shared" si="323"/>
        <v>0</v>
      </c>
    </row>
    <row r="468" spans="1:23" ht="78.75" x14ac:dyDescent="0.15">
      <c r="A468" s="10" t="s">
        <v>2541</v>
      </c>
      <c r="B468" s="9" t="s">
        <v>1205</v>
      </c>
      <c r="C468" s="8" t="s">
        <v>1447</v>
      </c>
      <c r="D468" s="5" t="s">
        <v>969</v>
      </c>
      <c r="E468" s="4" t="s">
        <v>60</v>
      </c>
      <c r="F468" s="4" t="s">
        <v>1387</v>
      </c>
      <c r="G468" s="7">
        <v>43068</v>
      </c>
      <c r="H468" s="6" t="s">
        <v>951</v>
      </c>
      <c r="I468" s="5" t="s">
        <v>1579</v>
      </c>
      <c r="J468" s="5"/>
      <c r="K468" s="7"/>
      <c r="L468" s="6"/>
      <c r="M468" s="5"/>
      <c r="Q468" s="3">
        <f t="shared" si="317"/>
        <v>0</v>
      </c>
      <c r="R468" s="3">
        <f t="shared" si="318"/>
        <v>0</v>
      </c>
      <c r="S468" s="3">
        <f t="shared" si="319"/>
        <v>0</v>
      </c>
      <c r="T468" s="3">
        <f t="shared" si="320"/>
        <v>0</v>
      </c>
      <c r="U468" s="3">
        <f t="shared" si="321"/>
        <v>0</v>
      </c>
      <c r="V468" s="3">
        <f t="shared" si="322"/>
        <v>0</v>
      </c>
      <c r="W468">
        <f t="shared" si="323"/>
        <v>0</v>
      </c>
    </row>
    <row r="469" spans="1:23" ht="67.5" x14ac:dyDescent="0.15">
      <c r="A469" s="10" t="s">
        <v>1748</v>
      </c>
      <c r="B469" s="9" t="s">
        <v>754</v>
      </c>
      <c r="C469" s="8" t="s">
        <v>1447</v>
      </c>
      <c r="D469" s="5" t="s">
        <v>969</v>
      </c>
      <c r="E469" s="4" t="s">
        <v>17</v>
      </c>
      <c r="F469" s="4" t="s">
        <v>692</v>
      </c>
      <c r="G469" s="7">
        <v>43068</v>
      </c>
      <c r="H469" s="6" t="s">
        <v>951</v>
      </c>
      <c r="I469" s="5" t="s">
        <v>1579</v>
      </c>
      <c r="J469" s="5"/>
      <c r="K469" s="7"/>
      <c r="L469" s="6"/>
      <c r="M469" s="5"/>
      <c r="Q469" s="3">
        <f t="shared" si="317"/>
        <v>0</v>
      </c>
      <c r="R469" s="3">
        <f t="shared" si="318"/>
        <v>0</v>
      </c>
      <c r="S469" s="3">
        <f t="shared" si="319"/>
        <v>0</v>
      </c>
      <c r="T469" s="3">
        <f t="shared" si="320"/>
        <v>0</v>
      </c>
      <c r="U469" s="3">
        <f t="shared" si="321"/>
        <v>0</v>
      </c>
      <c r="V469" s="3">
        <f t="shared" si="322"/>
        <v>0</v>
      </c>
      <c r="W469">
        <f t="shared" si="323"/>
        <v>0</v>
      </c>
    </row>
    <row r="470" spans="1:23" ht="67.5" x14ac:dyDescent="0.15">
      <c r="A470" s="10" t="s">
        <v>1977</v>
      </c>
      <c r="B470" s="9" t="s">
        <v>1215</v>
      </c>
      <c r="C470" s="8" t="s">
        <v>1447</v>
      </c>
      <c r="D470" s="5" t="s">
        <v>969</v>
      </c>
      <c r="E470" s="4" t="s">
        <v>16</v>
      </c>
      <c r="F470" s="4" t="s">
        <v>700</v>
      </c>
      <c r="G470" s="7">
        <v>43068</v>
      </c>
      <c r="H470" s="6" t="s">
        <v>951</v>
      </c>
      <c r="I470" s="5" t="s">
        <v>1579</v>
      </c>
      <c r="J470" s="5"/>
      <c r="K470" s="7"/>
      <c r="L470" s="6"/>
      <c r="M470" s="5"/>
      <c r="Q470" s="3">
        <f t="shared" si="317"/>
        <v>0</v>
      </c>
      <c r="R470" s="3">
        <f t="shared" si="318"/>
        <v>0</v>
      </c>
      <c r="S470" s="3">
        <f t="shared" si="319"/>
        <v>0</v>
      </c>
      <c r="T470" s="3">
        <f t="shared" si="320"/>
        <v>0</v>
      </c>
      <c r="U470" s="3">
        <f t="shared" si="321"/>
        <v>0</v>
      </c>
      <c r="V470" s="3">
        <f t="shared" si="322"/>
        <v>0</v>
      </c>
      <c r="W470">
        <f t="shared" si="323"/>
        <v>0</v>
      </c>
    </row>
    <row r="471" spans="1:23" ht="78.75" x14ac:dyDescent="0.15">
      <c r="A471" s="10" t="s">
        <v>2379</v>
      </c>
      <c r="B471" s="9" t="s">
        <v>1232</v>
      </c>
      <c r="C471" s="8" t="s">
        <v>1447</v>
      </c>
      <c r="D471" s="5" t="s">
        <v>968</v>
      </c>
      <c r="E471" s="4" t="s">
        <v>59</v>
      </c>
      <c r="F471" s="4" t="s">
        <v>1386</v>
      </c>
      <c r="G471" s="7">
        <v>43068</v>
      </c>
      <c r="H471" s="6" t="s">
        <v>951</v>
      </c>
      <c r="I471" s="5" t="s">
        <v>1579</v>
      </c>
      <c r="J471" s="5"/>
      <c r="K471" s="7"/>
      <c r="L471" s="6"/>
      <c r="M471" s="5"/>
      <c r="Q471" s="3">
        <f t="shared" si="317"/>
        <v>0</v>
      </c>
      <c r="R471" s="3">
        <f t="shared" si="318"/>
        <v>0</v>
      </c>
      <c r="S471" s="3">
        <f t="shared" si="319"/>
        <v>0</v>
      </c>
      <c r="T471" s="3">
        <f t="shared" si="320"/>
        <v>0</v>
      </c>
      <c r="U471" s="3">
        <f t="shared" si="321"/>
        <v>0</v>
      </c>
      <c r="V471" s="3">
        <f t="shared" si="322"/>
        <v>0</v>
      </c>
      <c r="W471">
        <f t="shared" si="323"/>
        <v>0</v>
      </c>
    </row>
    <row r="472" spans="1:23" ht="67.5" x14ac:dyDescent="0.15">
      <c r="A472" s="10" t="s">
        <v>2581</v>
      </c>
      <c r="B472" s="9" t="s">
        <v>1282</v>
      </c>
      <c r="C472" s="8" t="s">
        <v>1447</v>
      </c>
      <c r="D472" s="5" t="s">
        <v>968</v>
      </c>
      <c r="E472" s="4" t="s">
        <v>9</v>
      </c>
      <c r="F472" s="4" t="s">
        <v>693</v>
      </c>
      <c r="G472" s="7">
        <v>43068</v>
      </c>
      <c r="H472" s="6" t="s">
        <v>951</v>
      </c>
      <c r="I472" s="5" t="s">
        <v>1579</v>
      </c>
      <c r="J472" s="5"/>
      <c r="K472" s="7"/>
      <c r="L472" s="6"/>
      <c r="M472" s="5"/>
      <c r="Q472" s="3">
        <f t="shared" si="317"/>
        <v>0</v>
      </c>
      <c r="R472" s="3">
        <f t="shared" si="318"/>
        <v>0</v>
      </c>
      <c r="S472" s="3">
        <f t="shared" si="319"/>
        <v>0</v>
      </c>
      <c r="T472" s="3">
        <f t="shared" si="320"/>
        <v>0</v>
      </c>
      <c r="U472" s="3">
        <f t="shared" si="321"/>
        <v>0</v>
      </c>
      <c r="V472" s="3">
        <f t="shared" si="322"/>
        <v>0</v>
      </c>
      <c r="W472">
        <f t="shared" si="323"/>
        <v>0</v>
      </c>
    </row>
    <row r="473" spans="1:23" ht="67.5" x14ac:dyDescent="0.15">
      <c r="A473" s="10" t="s">
        <v>1680</v>
      </c>
      <c r="B473" s="9" t="s">
        <v>1327</v>
      </c>
      <c r="C473" s="8" t="s">
        <v>1447</v>
      </c>
      <c r="D473" s="5" t="s">
        <v>968</v>
      </c>
      <c r="E473" s="4" t="s">
        <v>11</v>
      </c>
      <c r="F473" s="4" t="s">
        <v>688</v>
      </c>
      <c r="G473" s="7">
        <v>43068</v>
      </c>
      <c r="H473" s="6" t="s">
        <v>951</v>
      </c>
      <c r="I473" s="5" t="s">
        <v>1579</v>
      </c>
      <c r="J473" s="5"/>
      <c r="K473" s="7"/>
      <c r="L473" s="6"/>
      <c r="M473" s="5"/>
      <c r="Q473" s="3">
        <f t="shared" si="317"/>
        <v>0</v>
      </c>
      <c r="R473" s="3">
        <f t="shared" si="318"/>
        <v>0</v>
      </c>
      <c r="S473" s="3">
        <f t="shared" si="319"/>
        <v>0</v>
      </c>
      <c r="T473" s="3">
        <f t="shared" si="320"/>
        <v>0</v>
      </c>
      <c r="U473" s="3">
        <f t="shared" si="321"/>
        <v>0</v>
      </c>
      <c r="V473" s="3">
        <f t="shared" si="322"/>
        <v>0</v>
      </c>
      <c r="W473">
        <f t="shared" si="323"/>
        <v>0</v>
      </c>
    </row>
    <row r="474" spans="1:23" ht="25.5" x14ac:dyDescent="0.15">
      <c r="A474" s="16" t="s">
        <v>935</v>
      </c>
      <c r="B474" s="129" t="s">
        <v>842</v>
      </c>
      <c r="C474" s="130"/>
      <c r="D474" s="15" t="s">
        <v>1011</v>
      </c>
      <c r="E474" s="9" t="s">
        <v>1364</v>
      </c>
      <c r="F474" s="13" t="s">
        <v>2495</v>
      </c>
      <c r="G474" s="131" t="s">
        <v>657</v>
      </c>
      <c r="H474" s="132"/>
      <c r="I474" s="132"/>
      <c r="J474" s="132"/>
      <c r="K474" s="132"/>
      <c r="L474" s="132"/>
      <c r="M474" s="133"/>
    </row>
    <row r="475" spans="1:23" x14ac:dyDescent="0.15">
      <c r="A475" s="134" t="s">
        <v>977</v>
      </c>
      <c r="B475" s="136" t="s">
        <v>920</v>
      </c>
      <c r="C475" s="138" t="s">
        <v>1008</v>
      </c>
      <c r="D475" s="140" t="s">
        <v>1009</v>
      </c>
      <c r="E475" s="142" t="s">
        <v>2118</v>
      </c>
      <c r="F475" s="142" t="s">
        <v>1849</v>
      </c>
      <c r="G475" s="144" t="s">
        <v>994</v>
      </c>
      <c r="H475" s="145"/>
      <c r="I475" s="145"/>
      <c r="J475" s="146"/>
      <c r="K475" s="144" t="s">
        <v>982</v>
      </c>
      <c r="L475" s="145"/>
      <c r="M475" s="147"/>
    </row>
    <row r="476" spans="1:23" x14ac:dyDescent="0.15">
      <c r="A476" s="135"/>
      <c r="B476" s="137"/>
      <c r="C476" s="139"/>
      <c r="D476" s="141"/>
      <c r="E476" s="143"/>
      <c r="F476" s="143"/>
      <c r="G476" s="12" t="s">
        <v>1588</v>
      </c>
      <c r="H476" s="12" t="s">
        <v>1578</v>
      </c>
      <c r="I476" s="12" t="s">
        <v>1562</v>
      </c>
      <c r="J476" s="12" t="s">
        <v>1007</v>
      </c>
      <c r="K476" s="12" t="s">
        <v>1588</v>
      </c>
      <c r="L476" s="12" t="s">
        <v>1578</v>
      </c>
      <c r="M476" s="11" t="s">
        <v>1562</v>
      </c>
    </row>
    <row r="477" spans="1:23" ht="67.5" x14ac:dyDescent="0.15">
      <c r="A477" s="10" t="s">
        <v>1672</v>
      </c>
      <c r="B477" s="9" t="s">
        <v>1364</v>
      </c>
      <c r="C477" s="8" t="s">
        <v>1447</v>
      </c>
      <c r="D477" s="5" t="s">
        <v>1297</v>
      </c>
      <c r="E477" s="4" t="s">
        <v>429</v>
      </c>
      <c r="F477" s="4" t="s">
        <v>418</v>
      </c>
      <c r="G477" s="7">
        <v>43089</v>
      </c>
      <c r="H477" s="6" t="s">
        <v>951</v>
      </c>
      <c r="I477" s="5" t="s">
        <v>1579</v>
      </c>
      <c r="J477" s="5"/>
      <c r="K477" s="7"/>
      <c r="L477" s="6"/>
      <c r="M477" s="5"/>
      <c r="Q477" s="3" t="b">
        <f t="shared" ref="Q477:Q482" si="324">IF($Q$6&gt;=G477,0)</f>
        <v>0</v>
      </c>
      <c r="R477" s="3">
        <f t="shared" ref="R477:R482" si="325">IF($R$6&gt;=G477,0)</f>
        <v>0</v>
      </c>
      <c r="S477" s="3">
        <f t="shared" ref="S477:S482" si="326">IF($S$6&gt;=G477,0)</f>
        <v>0</v>
      </c>
      <c r="T477" s="3">
        <f t="shared" ref="T477:T482" si="327">IF($T$6&gt;=G477,0)</f>
        <v>0</v>
      </c>
      <c r="U477" s="3">
        <f t="shared" ref="U477:U482" si="328">IF($U$6&gt;=G477,0)</f>
        <v>0</v>
      </c>
      <c r="V477" s="3">
        <f t="shared" ref="V477:V482" si="329">IF($V$6&gt;=G477,0)</f>
        <v>0</v>
      </c>
      <c r="W477">
        <f t="shared" ref="W477:W482" si="330">IF($W$6&gt;=G477,0)</f>
        <v>0</v>
      </c>
    </row>
    <row r="478" spans="1:23" ht="67.5" x14ac:dyDescent="0.15">
      <c r="A478" s="10" t="s">
        <v>1871</v>
      </c>
      <c r="B478" s="9" t="s">
        <v>1358</v>
      </c>
      <c r="C478" s="8" t="s">
        <v>1447</v>
      </c>
      <c r="D478" s="5" t="s">
        <v>744</v>
      </c>
      <c r="E478" s="4" t="s">
        <v>424</v>
      </c>
      <c r="F478" s="4" t="s">
        <v>433</v>
      </c>
      <c r="G478" s="7">
        <v>43089</v>
      </c>
      <c r="H478" s="6" t="s">
        <v>951</v>
      </c>
      <c r="I478" s="5" t="s">
        <v>1579</v>
      </c>
      <c r="J478" s="5"/>
      <c r="K478" s="7"/>
      <c r="L478" s="6"/>
      <c r="M478" s="5"/>
      <c r="Q478" s="3" t="b">
        <f t="shared" si="324"/>
        <v>0</v>
      </c>
      <c r="R478" s="3">
        <f t="shared" si="325"/>
        <v>0</v>
      </c>
      <c r="S478" s="3">
        <f t="shared" si="326"/>
        <v>0</v>
      </c>
      <c r="T478" s="3">
        <f t="shared" si="327"/>
        <v>0</v>
      </c>
      <c r="U478" s="3">
        <f t="shared" si="328"/>
        <v>0</v>
      </c>
      <c r="V478" s="3">
        <f t="shared" si="329"/>
        <v>0</v>
      </c>
      <c r="W478">
        <f t="shared" si="330"/>
        <v>0</v>
      </c>
    </row>
    <row r="479" spans="1:23" ht="67.5" x14ac:dyDescent="0.15">
      <c r="A479" s="10" t="s">
        <v>1708</v>
      </c>
      <c r="B479" s="9" t="s">
        <v>1355</v>
      </c>
      <c r="C479" s="8" t="s">
        <v>1447</v>
      </c>
      <c r="D479" s="5" t="s">
        <v>1323</v>
      </c>
      <c r="E479" s="4" t="s">
        <v>417</v>
      </c>
      <c r="F479" s="4" t="s">
        <v>431</v>
      </c>
      <c r="G479" s="7">
        <v>43089</v>
      </c>
      <c r="H479" s="6" t="s">
        <v>951</v>
      </c>
      <c r="I479" s="5" t="s">
        <v>1579</v>
      </c>
      <c r="J479" s="5"/>
      <c r="K479" s="7"/>
      <c r="L479" s="6"/>
      <c r="M479" s="5"/>
      <c r="Q479" s="3" t="b">
        <f t="shared" si="324"/>
        <v>0</v>
      </c>
      <c r="R479" s="3">
        <f t="shared" si="325"/>
        <v>0</v>
      </c>
      <c r="S479" s="3">
        <f t="shared" si="326"/>
        <v>0</v>
      </c>
      <c r="T479" s="3">
        <f t="shared" si="327"/>
        <v>0</v>
      </c>
      <c r="U479" s="3">
        <f t="shared" si="328"/>
        <v>0</v>
      </c>
      <c r="V479" s="3">
        <f t="shared" si="329"/>
        <v>0</v>
      </c>
      <c r="W479">
        <f t="shared" si="330"/>
        <v>0</v>
      </c>
    </row>
    <row r="480" spans="1:23" ht="67.5" x14ac:dyDescent="0.15">
      <c r="A480" s="10" t="s">
        <v>1769</v>
      </c>
      <c r="B480" s="9" t="s">
        <v>1368</v>
      </c>
      <c r="C480" s="8" t="s">
        <v>1447</v>
      </c>
      <c r="D480" s="5" t="s">
        <v>1261</v>
      </c>
      <c r="E480" s="4" t="s">
        <v>432</v>
      </c>
      <c r="F480" s="4" t="s">
        <v>428</v>
      </c>
      <c r="G480" s="7">
        <v>43089</v>
      </c>
      <c r="H480" s="6" t="s">
        <v>951</v>
      </c>
      <c r="I480" s="5" t="s">
        <v>1579</v>
      </c>
      <c r="J480" s="5"/>
      <c r="K480" s="7"/>
      <c r="L480" s="6"/>
      <c r="M480" s="5"/>
      <c r="Q480" s="3" t="b">
        <f t="shared" si="324"/>
        <v>0</v>
      </c>
      <c r="R480" s="3">
        <f t="shared" si="325"/>
        <v>0</v>
      </c>
      <c r="S480" s="3">
        <f t="shared" si="326"/>
        <v>0</v>
      </c>
      <c r="T480" s="3">
        <f t="shared" si="327"/>
        <v>0</v>
      </c>
      <c r="U480" s="3">
        <f t="shared" si="328"/>
        <v>0</v>
      </c>
      <c r="V480" s="3">
        <f t="shared" si="329"/>
        <v>0</v>
      </c>
      <c r="W480">
        <f t="shared" si="330"/>
        <v>0</v>
      </c>
    </row>
    <row r="481" spans="1:23" ht="67.5" x14ac:dyDescent="0.15">
      <c r="A481" s="10" t="s">
        <v>2017</v>
      </c>
      <c r="B481" s="9" t="s">
        <v>1369</v>
      </c>
      <c r="C481" s="8" t="s">
        <v>1447</v>
      </c>
      <c r="D481" s="5" t="s">
        <v>753</v>
      </c>
      <c r="E481" s="4" t="s">
        <v>426</v>
      </c>
      <c r="F481" s="4" t="s">
        <v>430</v>
      </c>
      <c r="G481" s="7">
        <v>43089</v>
      </c>
      <c r="H481" s="6" t="s">
        <v>951</v>
      </c>
      <c r="I481" s="5" t="s">
        <v>1579</v>
      </c>
      <c r="J481" s="5"/>
      <c r="K481" s="7"/>
      <c r="L481" s="6"/>
      <c r="M481" s="5"/>
      <c r="Q481" s="3" t="b">
        <f t="shared" si="324"/>
        <v>0</v>
      </c>
      <c r="R481" s="3">
        <f t="shared" si="325"/>
        <v>0</v>
      </c>
      <c r="S481" s="3">
        <f t="shared" si="326"/>
        <v>0</v>
      </c>
      <c r="T481" s="3">
        <f t="shared" si="327"/>
        <v>0</v>
      </c>
      <c r="U481" s="3">
        <f t="shared" si="328"/>
        <v>0</v>
      </c>
      <c r="V481" s="3">
        <f t="shared" si="329"/>
        <v>0</v>
      </c>
      <c r="W481">
        <f t="shared" si="330"/>
        <v>0</v>
      </c>
    </row>
    <row r="482" spans="1:23" ht="67.5" x14ac:dyDescent="0.15">
      <c r="A482" s="10" t="s">
        <v>1719</v>
      </c>
      <c r="B482" s="9" t="s">
        <v>1336</v>
      </c>
      <c r="C482" s="8" t="s">
        <v>1447</v>
      </c>
      <c r="D482" s="5" t="s">
        <v>1281</v>
      </c>
      <c r="E482" s="4" t="s">
        <v>421</v>
      </c>
      <c r="F482" s="4" t="s">
        <v>423</v>
      </c>
      <c r="G482" s="7">
        <v>43089</v>
      </c>
      <c r="H482" s="6" t="s">
        <v>951</v>
      </c>
      <c r="I482" s="5" t="s">
        <v>1579</v>
      </c>
      <c r="J482" s="5"/>
      <c r="K482" s="7"/>
      <c r="L482" s="6"/>
      <c r="M482" s="5"/>
      <c r="Q482" s="3" t="b">
        <f t="shared" si="324"/>
        <v>0</v>
      </c>
      <c r="R482" s="3">
        <f t="shared" si="325"/>
        <v>0</v>
      </c>
      <c r="S482" s="3">
        <f t="shared" si="326"/>
        <v>0</v>
      </c>
      <c r="T482" s="3">
        <f t="shared" si="327"/>
        <v>0</v>
      </c>
      <c r="U482" s="3">
        <f t="shared" si="328"/>
        <v>0</v>
      </c>
      <c r="V482" s="3">
        <f t="shared" si="329"/>
        <v>0</v>
      </c>
      <c r="W482">
        <f t="shared" si="330"/>
        <v>0</v>
      </c>
    </row>
    <row r="483" spans="1:23" ht="22.5" x14ac:dyDescent="0.15">
      <c r="A483" s="16" t="s">
        <v>935</v>
      </c>
      <c r="B483" s="129" t="s">
        <v>576</v>
      </c>
      <c r="C483" s="130"/>
      <c r="D483" s="15" t="s">
        <v>1011</v>
      </c>
      <c r="E483" s="14" t="s">
        <v>124</v>
      </c>
      <c r="F483" s="13" t="s">
        <v>2495</v>
      </c>
      <c r="G483" s="131" t="s">
        <v>623</v>
      </c>
      <c r="H483" s="132"/>
      <c r="I483" s="132"/>
      <c r="J483" s="132"/>
      <c r="K483" s="132"/>
      <c r="L483" s="132"/>
      <c r="M483" s="133"/>
    </row>
    <row r="484" spans="1:23" x14ac:dyDescent="0.15">
      <c r="A484" s="134" t="s">
        <v>977</v>
      </c>
      <c r="B484" s="136" t="s">
        <v>920</v>
      </c>
      <c r="C484" s="138" t="s">
        <v>1008</v>
      </c>
      <c r="D484" s="140" t="s">
        <v>1009</v>
      </c>
      <c r="E484" s="142" t="s">
        <v>2118</v>
      </c>
      <c r="F484" s="142" t="s">
        <v>1849</v>
      </c>
      <c r="G484" s="144" t="s">
        <v>994</v>
      </c>
      <c r="H484" s="145"/>
      <c r="I484" s="145"/>
      <c r="J484" s="146"/>
      <c r="K484" s="144" t="s">
        <v>982</v>
      </c>
      <c r="L484" s="145"/>
      <c r="M484" s="147"/>
    </row>
    <row r="485" spans="1:23" x14ac:dyDescent="0.15">
      <c r="A485" s="135"/>
      <c r="B485" s="137"/>
      <c r="C485" s="139"/>
      <c r="D485" s="141"/>
      <c r="E485" s="143"/>
      <c r="F485" s="143"/>
      <c r="G485" s="12" t="s">
        <v>1588</v>
      </c>
      <c r="H485" s="12" t="s">
        <v>1578</v>
      </c>
      <c r="I485" s="12" t="s">
        <v>1562</v>
      </c>
      <c r="J485" s="12" t="s">
        <v>1007</v>
      </c>
      <c r="K485" s="12" t="s">
        <v>1588</v>
      </c>
      <c r="L485" s="12" t="s">
        <v>1578</v>
      </c>
      <c r="M485" s="11" t="s">
        <v>1562</v>
      </c>
    </row>
    <row r="486" spans="1:23" ht="25.5" x14ac:dyDescent="0.15">
      <c r="A486" s="10" t="s">
        <v>1987</v>
      </c>
      <c r="B486" s="9" t="s">
        <v>124</v>
      </c>
      <c r="C486" s="8" t="s">
        <v>1447</v>
      </c>
      <c r="D486" s="5"/>
      <c r="E486" s="4"/>
      <c r="F486" s="4"/>
      <c r="G486" s="7">
        <v>43105</v>
      </c>
      <c r="H486" s="6" t="s">
        <v>951</v>
      </c>
      <c r="I486" s="5" t="s">
        <v>1577</v>
      </c>
      <c r="J486" s="5" t="s">
        <v>1016</v>
      </c>
      <c r="K486" s="7"/>
      <c r="L486" s="6"/>
      <c r="M486" s="5"/>
      <c r="N486" s="2" t="s">
        <v>1568</v>
      </c>
      <c r="Q486" s="3" t="b">
        <f t="shared" ref="Q486:Q489" si="331">IF($Q$6&gt;=G486,0)</f>
        <v>0</v>
      </c>
      <c r="R486" s="3" t="b">
        <f t="shared" ref="R486:R489" si="332">IF($R$6&gt;=G486,0)</f>
        <v>0</v>
      </c>
      <c r="T486" s="3" t="b">
        <f t="shared" ref="T486:T489" si="333">IF($T$6&gt;=G486,0)</f>
        <v>0</v>
      </c>
      <c r="U486" s="3">
        <f t="shared" ref="U486:U489" si="334">IF($U$6&gt;=G486,0)</f>
        <v>0</v>
      </c>
      <c r="V486" s="3">
        <f t="shared" ref="V486:V489" si="335">IF($V$6&gt;=G486,0)</f>
        <v>0</v>
      </c>
      <c r="W486">
        <f t="shared" ref="W486:W489" si="336">IF($W$6&gt;=G486,0)</f>
        <v>0</v>
      </c>
    </row>
    <row r="487" spans="1:23" ht="25.5" x14ac:dyDescent="0.15">
      <c r="A487" s="10" t="s">
        <v>1701</v>
      </c>
      <c r="B487" s="9" t="s">
        <v>113</v>
      </c>
      <c r="C487" s="8" t="s">
        <v>1447</v>
      </c>
      <c r="D487" s="5"/>
      <c r="E487" s="4"/>
      <c r="F487" s="4"/>
      <c r="G487" s="7">
        <v>43105</v>
      </c>
      <c r="H487" s="6" t="s">
        <v>951</v>
      </c>
      <c r="I487" s="5" t="s">
        <v>1577</v>
      </c>
      <c r="J487" s="5" t="s">
        <v>1016</v>
      </c>
      <c r="K487" s="7"/>
      <c r="L487" s="6"/>
      <c r="M487" s="5"/>
      <c r="N487" s="2" t="s">
        <v>1568</v>
      </c>
      <c r="Q487" s="3" t="b">
        <f t="shared" si="331"/>
        <v>0</v>
      </c>
      <c r="R487" s="3" t="b">
        <f t="shared" si="332"/>
        <v>0</v>
      </c>
      <c r="T487" s="3" t="b">
        <f t="shared" si="333"/>
        <v>0</v>
      </c>
      <c r="U487" s="3">
        <f t="shared" si="334"/>
        <v>0</v>
      </c>
      <c r="V487" s="3">
        <f t="shared" si="335"/>
        <v>0</v>
      </c>
      <c r="W487">
        <f t="shared" si="336"/>
        <v>0</v>
      </c>
    </row>
    <row r="488" spans="1:23" ht="25.5" x14ac:dyDescent="0.15">
      <c r="A488" s="10" t="s">
        <v>1785</v>
      </c>
      <c r="B488" s="9" t="s">
        <v>105</v>
      </c>
      <c r="C488" s="8" t="s">
        <v>1447</v>
      </c>
      <c r="D488" s="5"/>
      <c r="E488" s="4"/>
      <c r="F488" s="4"/>
      <c r="G488" s="7">
        <v>43105</v>
      </c>
      <c r="H488" s="6" t="s">
        <v>951</v>
      </c>
      <c r="I488" s="5" t="s">
        <v>1577</v>
      </c>
      <c r="J488" s="5" t="s">
        <v>1016</v>
      </c>
      <c r="K488" s="7"/>
      <c r="L488" s="6"/>
      <c r="M488" s="5"/>
      <c r="N488" s="2" t="s">
        <v>1568</v>
      </c>
      <c r="Q488" s="3" t="b">
        <f t="shared" si="331"/>
        <v>0</v>
      </c>
      <c r="R488" s="3" t="b">
        <f t="shared" si="332"/>
        <v>0</v>
      </c>
      <c r="T488" s="3" t="b">
        <f t="shared" si="333"/>
        <v>0</v>
      </c>
      <c r="U488" s="3">
        <f t="shared" si="334"/>
        <v>0</v>
      </c>
      <c r="V488" s="3">
        <f t="shared" si="335"/>
        <v>0</v>
      </c>
      <c r="W488">
        <f t="shared" si="336"/>
        <v>0</v>
      </c>
    </row>
    <row r="489" spans="1:23" ht="25.5" x14ac:dyDescent="0.15">
      <c r="A489" s="10" t="s">
        <v>1879</v>
      </c>
      <c r="B489" s="9" t="s">
        <v>126</v>
      </c>
      <c r="C489" s="8" t="s">
        <v>1447</v>
      </c>
      <c r="D489" s="5"/>
      <c r="E489" s="4"/>
      <c r="F489" s="4"/>
      <c r="G489" s="7">
        <v>43105</v>
      </c>
      <c r="H489" s="6" t="s">
        <v>951</v>
      </c>
      <c r="I489" s="5" t="s">
        <v>1577</v>
      </c>
      <c r="J489" s="5" t="s">
        <v>1016</v>
      </c>
      <c r="K489" s="7"/>
      <c r="L489" s="6"/>
      <c r="M489" s="5"/>
      <c r="N489" s="2" t="s">
        <v>1568</v>
      </c>
      <c r="Q489" s="3" t="b">
        <f t="shared" si="331"/>
        <v>0</v>
      </c>
      <c r="R489" s="3" t="b">
        <f t="shared" si="332"/>
        <v>0</v>
      </c>
      <c r="T489" s="3" t="b">
        <f t="shared" si="333"/>
        <v>0</v>
      </c>
      <c r="U489" s="3">
        <f t="shared" si="334"/>
        <v>0</v>
      </c>
      <c r="V489" s="3">
        <f t="shared" si="335"/>
        <v>0</v>
      </c>
      <c r="W489">
        <f t="shared" si="336"/>
        <v>0</v>
      </c>
    </row>
    <row r="490" spans="1:23" ht="22.5" x14ac:dyDescent="0.15">
      <c r="A490" s="16" t="s">
        <v>935</v>
      </c>
      <c r="B490" s="129" t="s">
        <v>871</v>
      </c>
      <c r="C490" s="130"/>
      <c r="D490" s="15" t="s">
        <v>1011</v>
      </c>
      <c r="E490" s="14" t="s">
        <v>2623</v>
      </c>
      <c r="F490" s="13" t="s">
        <v>2495</v>
      </c>
      <c r="G490" s="131" t="s">
        <v>609</v>
      </c>
      <c r="H490" s="132"/>
      <c r="I490" s="132"/>
      <c r="J490" s="132"/>
      <c r="K490" s="132"/>
      <c r="L490" s="132"/>
      <c r="M490" s="133"/>
    </row>
    <row r="491" spans="1:23" x14ac:dyDescent="0.15">
      <c r="A491" s="134" t="s">
        <v>977</v>
      </c>
      <c r="B491" s="136" t="s">
        <v>920</v>
      </c>
      <c r="C491" s="138" t="s">
        <v>1008</v>
      </c>
      <c r="D491" s="140" t="s">
        <v>1009</v>
      </c>
      <c r="E491" s="142" t="s">
        <v>2118</v>
      </c>
      <c r="F491" s="142" t="s">
        <v>1849</v>
      </c>
      <c r="G491" s="144" t="s">
        <v>994</v>
      </c>
      <c r="H491" s="145"/>
      <c r="I491" s="145"/>
      <c r="J491" s="146"/>
      <c r="K491" s="144" t="s">
        <v>982</v>
      </c>
      <c r="L491" s="145"/>
      <c r="M491" s="147"/>
    </row>
    <row r="492" spans="1:23" x14ac:dyDescent="0.15">
      <c r="A492" s="135"/>
      <c r="B492" s="137"/>
      <c r="C492" s="139"/>
      <c r="D492" s="141"/>
      <c r="E492" s="143"/>
      <c r="F492" s="143"/>
      <c r="G492" s="12" t="s">
        <v>1588</v>
      </c>
      <c r="H492" s="12" t="s">
        <v>1578</v>
      </c>
      <c r="I492" s="12" t="s">
        <v>1562</v>
      </c>
      <c r="J492" s="12" t="s">
        <v>1007</v>
      </c>
      <c r="K492" s="12" t="s">
        <v>1588</v>
      </c>
      <c r="L492" s="12" t="s">
        <v>1578</v>
      </c>
      <c r="M492" s="11" t="s">
        <v>1562</v>
      </c>
    </row>
    <row r="493" spans="1:23" ht="45" x14ac:dyDescent="0.15">
      <c r="A493" s="10" t="s">
        <v>1856</v>
      </c>
      <c r="B493" s="9" t="s">
        <v>2699</v>
      </c>
      <c r="C493" s="8" t="s">
        <v>1447</v>
      </c>
      <c r="D493" s="5"/>
      <c r="E493" s="4" t="s">
        <v>449</v>
      </c>
      <c r="F493" s="4" t="s">
        <v>1371</v>
      </c>
      <c r="G493" s="7">
        <v>43098</v>
      </c>
      <c r="H493" s="6" t="s">
        <v>951</v>
      </c>
      <c r="I493" s="5" t="s">
        <v>1593</v>
      </c>
      <c r="J493" s="5"/>
      <c r="K493" s="7"/>
      <c r="L493" s="6"/>
      <c r="M493" s="5"/>
      <c r="N493" s="2" t="s">
        <v>1568</v>
      </c>
      <c r="Q493" s="3" t="b">
        <f t="shared" ref="Q493:Q495" si="337">IF($Q$6&gt;=G493,0)</f>
        <v>0</v>
      </c>
      <c r="R493" s="3" t="b">
        <f t="shared" ref="R493:R495" si="338">IF($R$6&gt;=G493,0)</f>
        <v>0</v>
      </c>
      <c r="S493" s="3">
        <f t="shared" ref="S493:S495" si="339">IF($S$6&gt;=G493,0)</f>
        <v>0</v>
      </c>
      <c r="T493" s="3">
        <f t="shared" ref="T493:T495" si="340">IF($T$6&gt;=G493,0)</f>
        <v>0</v>
      </c>
      <c r="U493" s="3">
        <f t="shared" ref="U493:U495" si="341">IF($U$6&gt;=G493,0)</f>
        <v>0</v>
      </c>
      <c r="V493" s="3">
        <f t="shared" ref="V493:V495" si="342">IF($V$6&gt;=G493,0)</f>
        <v>0</v>
      </c>
      <c r="W493">
        <f t="shared" ref="W493:W495" si="343">IF($W$6&gt;=G493,0)</f>
        <v>0</v>
      </c>
    </row>
    <row r="494" spans="1:23" ht="45" x14ac:dyDescent="0.15">
      <c r="A494" s="10" t="s">
        <v>1698</v>
      </c>
      <c r="B494" s="9" t="s">
        <v>1300</v>
      </c>
      <c r="C494" s="8" t="s">
        <v>1447</v>
      </c>
      <c r="D494" s="5"/>
      <c r="E494" s="4" t="s">
        <v>449</v>
      </c>
      <c r="F494" s="4" t="s">
        <v>292</v>
      </c>
      <c r="G494" s="7">
        <v>43098</v>
      </c>
      <c r="H494" s="6" t="s">
        <v>951</v>
      </c>
      <c r="I494" s="5" t="s">
        <v>1593</v>
      </c>
      <c r="J494" s="5"/>
      <c r="K494" s="7"/>
      <c r="L494" s="6"/>
      <c r="M494" s="5"/>
      <c r="N494" s="2" t="s">
        <v>1568</v>
      </c>
      <c r="Q494" s="3" t="b">
        <f t="shared" si="337"/>
        <v>0</v>
      </c>
      <c r="R494" s="3" t="b">
        <f t="shared" si="338"/>
        <v>0</v>
      </c>
      <c r="S494" s="3">
        <f t="shared" si="339"/>
        <v>0</v>
      </c>
      <c r="T494" s="3">
        <f t="shared" si="340"/>
        <v>0</v>
      </c>
      <c r="U494" s="3">
        <f t="shared" si="341"/>
        <v>0</v>
      </c>
      <c r="V494" s="3">
        <f t="shared" si="342"/>
        <v>0</v>
      </c>
      <c r="W494">
        <f t="shared" si="343"/>
        <v>0</v>
      </c>
    </row>
    <row r="495" spans="1:23" ht="45" x14ac:dyDescent="0.15">
      <c r="A495" s="10" t="s">
        <v>1788</v>
      </c>
      <c r="B495" s="9" t="s">
        <v>1265</v>
      </c>
      <c r="C495" s="8" t="s">
        <v>1447</v>
      </c>
      <c r="D495" s="5"/>
      <c r="E495" s="4" t="s">
        <v>449</v>
      </c>
      <c r="F495" s="4" t="s">
        <v>250</v>
      </c>
      <c r="G495" s="7">
        <v>43098</v>
      </c>
      <c r="H495" s="6" t="s">
        <v>951</v>
      </c>
      <c r="I495" s="5" t="s">
        <v>1593</v>
      </c>
      <c r="J495" s="5"/>
      <c r="K495" s="7"/>
      <c r="L495" s="6"/>
      <c r="M495" s="5"/>
      <c r="N495" s="2" t="s">
        <v>1568</v>
      </c>
      <c r="Q495" s="3" t="b">
        <f t="shared" si="337"/>
        <v>0</v>
      </c>
      <c r="R495" s="3" t="b">
        <f t="shared" si="338"/>
        <v>0</v>
      </c>
      <c r="S495" s="3">
        <f t="shared" si="339"/>
        <v>0</v>
      </c>
      <c r="T495" s="3">
        <f t="shared" si="340"/>
        <v>0</v>
      </c>
      <c r="U495" s="3">
        <f t="shared" si="341"/>
        <v>0</v>
      </c>
      <c r="V495" s="3">
        <f t="shared" si="342"/>
        <v>0</v>
      </c>
      <c r="W495">
        <f t="shared" si="343"/>
        <v>0</v>
      </c>
    </row>
    <row r="496" spans="1:23" ht="45" x14ac:dyDescent="0.15">
      <c r="A496" s="16" t="s">
        <v>935</v>
      </c>
      <c r="B496" s="129" t="s">
        <v>1483</v>
      </c>
      <c r="C496" s="130"/>
      <c r="D496" s="15" t="s">
        <v>1011</v>
      </c>
      <c r="E496" s="14" t="s">
        <v>65</v>
      </c>
      <c r="F496" s="13" t="s">
        <v>2495</v>
      </c>
      <c r="G496" s="131" t="s">
        <v>633</v>
      </c>
      <c r="H496" s="132"/>
      <c r="I496" s="132"/>
      <c r="J496" s="132"/>
      <c r="K496" s="132"/>
      <c r="L496" s="132"/>
      <c r="M496" s="133"/>
    </row>
    <row r="497" spans="1:23" x14ac:dyDescent="0.15">
      <c r="A497" s="134" t="s">
        <v>977</v>
      </c>
      <c r="B497" s="136" t="s">
        <v>920</v>
      </c>
      <c r="C497" s="138" t="s">
        <v>1008</v>
      </c>
      <c r="D497" s="140" t="s">
        <v>1009</v>
      </c>
      <c r="E497" s="142" t="s">
        <v>2118</v>
      </c>
      <c r="F497" s="142" t="s">
        <v>1849</v>
      </c>
      <c r="G497" s="144" t="s">
        <v>994</v>
      </c>
      <c r="H497" s="145"/>
      <c r="I497" s="145"/>
      <c r="J497" s="146"/>
      <c r="K497" s="144" t="s">
        <v>982</v>
      </c>
      <c r="L497" s="145"/>
      <c r="M497" s="147"/>
    </row>
    <row r="498" spans="1:23" x14ac:dyDescent="0.15">
      <c r="A498" s="135"/>
      <c r="B498" s="137"/>
      <c r="C498" s="139"/>
      <c r="D498" s="141"/>
      <c r="E498" s="143"/>
      <c r="F498" s="143"/>
      <c r="G498" s="12" t="s">
        <v>1588</v>
      </c>
      <c r="H498" s="12" t="s">
        <v>1578</v>
      </c>
      <c r="I498" s="12" t="s">
        <v>1562</v>
      </c>
      <c r="J498" s="12" t="s">
        <v>1007</v>
      </c>
      <c r="K498" s="12" t="s">
        <v>1588</v>
      </c>
      <c r="L498" s="12" t="s">
        <v>1578</v>
      </c>
      <c r="M498" s="11" t="s">
        <v>1562</v>
      </c>
    </row>
    <row r="499" spans="1:23" ht="90" x14ac:dyDescent="0.15">
      <c r="A499" s="10" t="s">
        <v>2001</v>
      </c>
      <c r="B499" s="9" t="s">
        <v>365</v>
      </c>
      <c r="C499" s="8" t="s">
        <v>1447</v>
      </c>
      <c r="D499" s="5"/>
      <c r="E499" s="4" t="s">
        <v>23</v>
      </c>
      <c r="F499" s="4" t="s">
        <v>74</v>
      </c>
      <c r="G499" s="7">
        <v>43105</v>
      </c>
      <c r="H499" s="6"/>
      <c r="I499" s="5" t="s">
        <v>1597</v>
      </c>
      <c r="J499" s="5"/>
      <c r="K499" s="7"/>
      <c r="L499" s="6"/>
      <c r="M499" s="5"/>
      <c r="N499" s="2" t="s">
        <v>1568</v>
      </c>
      <c r="Q499" s="3" t="b">
        <f>IF($Q$6&gt;=G499,0)</f>
        <v>0</v>
      </c>
      <c r="R499" s="3" t="b">
        <f>IF($R$6&gt;=G499,0)</f>
        <v>0</v>
      </c>
      <c r="T499" s="3" t="b">
        <f>IF($T$6&gt;=G499,0)</f>
        <v>0</v>
      </c>
      <c r="U499" s="3">
        <f>IF($U$6&gt;=G499,0)</f>
        <v>0</v>
      </c>
      <c r="V499" s="3">
        <f>IF($V$6&gt;=G499,0)</f>
        <v>0</v>
      </c>
      <c r="W499">
        <f>IF($W$6&gt;=G499,0)</f>
        <v>0</v>
      </c>
    </row>
    <row r="500" spans="1:23" x14ac:dyDescent="0.15">
      <c r="A500" s="16" t="s">
        <v>935</v>
      </c>
      <c r="B500" s="129" t="s">
        <v>882</v>
      </c>
      <c r="C500" s="130"/>
      <c r="D500" s="15"/>
      <c r="E500" s="14" t="s">
        <v>1058</v>
      </c>
      <c r="F500" s="13" t="s">
        <v>2495</v>
      </c>
      <c r="G500" s="131" t="s">
        <v>647</v>
      </c>
      <c r="H500" s="132"/>
      <c r="I500" s="132"/>
      <c r="J500" s="132"/>
      <c r="K500" s="132"/>
      <c r="L500" s="132"/>
      <c r="M500" s="133"/>
    </row>
    <row r="501" spans="1:23" x14ac:dyDescent="0.15">
      <c r="A501" s="134" t="s">
        <v>977</v>
      </c>
      <c r="B501" s="136" t="s">
        <v>920</v>
      </c>
      <c r="C501" s="138" t="s">
        <v>1008</v>
      </c>
      <c r="D501" s="140" t="s">
        <v>1009</v>
      </c>
      <c r="E501" s="142" t="s">
        <v>2118</v>
      </c>
      <c r="F501" s="142" t="s">
        <v>1849</v>
      </c>
      <c r="G501" s="144" t="s">
        <v>994</v>
      </c>
      <c r="H501" s="145"/>
      <c r="I501" s="145"/>
      <c r="J501" s="146"/>
      <c r="K501" s="144" t="s">
        <v>982</v>
      </c>
      <c r="L501" s="145"/>
      <c r="M501" s="147"/>
    </row>
    <row r="502" spans="1:23" x14ac:dyDescent="0.15">
      <c r="A502" s="135"/>
      <c r="B502" s="137"/>
      <c r="C502" s="139"/>
      <c r="D502" s="141"/>
      <c r="E502" s="143"/>
      <c r="F502" s="143"/>
      <c r="G502" s="12" t="s">
        <v>1588</v>
      </c>
      <c r="H502" s="12" t="s">
        <v>1578</v>
      </c>
      <c r="I502" s="12" t="s">
        <v>1562</v>
      </c>
      <c r="J502" s="12" t="s">
        <v>1007</v>
      </c>
      <c r="K502" s="12" t="s">
        <v>1588</v>
      </c>
      <c r="L502" s="12" t="s">
        <v>1578</v>
      </c>
      <c r="M502" s="11" t="s">
        <v>1562</v>
      </c>
    </row>
    <row r="503" spans="1:23" ht="90" x14ac:dyDescent="0.15">
      <c r="A503" s="10" t="s">
        <v>2311</v>
      </c>
      <c r="B503" s="9" t="s">
        <v>1308</v>
      </c>
      <c r="C503" s="8" t="s">
        <v>1447</v>
      </c>
      <c r="D503" s="5"/>
      <c r="E503" s="4" t="s">
        <v>416</v>
      </c>
      <c r="F503" s="4" t="s">
        <v>324</v>
      </c>
      <c r="G503" s="7">
        <v>43105</v>
      </c>
      <c r="H503" s="6" t="s">
        <v>951</v>
      </c>
      <c r="I503" s="5" t="s">
        <v>1597</v>
      </c>
      <c r="J503" s="5"/>
      <c r="K503" s="7"/>
      <c r="L503" s="6"/>
      <c r="M503" s="5"/>
      <c r="N503" s="2" t="s">
        <v>1568</v>
      </c>
      <c r="Q503" s="3" t="b">
        <f t="shared" ref="Q503:Q507" si="344">IF($Q$6&gt;=G503,0)</f>
        <v>0</v>
      </c>
      <c r="R503" s="3" t="b">
        <f t="shared" ref="R503:R507" si="345">IF($R$6&gt;=G503,0)</f>
        <v>0</v>
      </c>
      <c r="T503" s="3" t="b">
        <f t="shared" ref="T503:T507" si="346">IF($T$6&gt;=G503,0)</f>
        <v>0</v>
      </c>
      <c r="U503" s="3">
        <f t="shared" ref="U503:U507" si="347">IF($U$6&gt;=G503,0)</f>
        <v>0</v>
      </c>
      <c r="V503" s="3">
        <f t="shared" ref="V503:V507" si="348">IF($V$6&gt;=G503,0)</f>
        <v>0</v>
      </c>
      <c r="W503">
        <f t="shared" ref="W503:W507" si="349">IF($W$6&gt;=G503,0)</f>
        <v>0</v>
      </c>
    </row>
    <row r="504" spans="1:23" ht="25.5" x14ac:dyDescent="0.15">
      <c r="A504" s="10" t="s">
        <v>1770</v>
      </c>
      <c r="B504" s="9" t="s">
        <v>1103</v>
      </c>
      <c r="C504" s="8" t="s">
        <v>1447</v>
      </c>
      <c r="D504" s="5"/>
      <c r="E504" s="4" t="s">
        <v>1363</v>
      </c>
      <c r="F504" s="4" t="s">
        <v>1153</v>
      </c>
      <c r="G504" s="7">
        <v>43105</v>
      </c>
      <c r="H504" s="6" t="s">
        <v>951</v>
      </c>
      <c r="I504" s="5" t="s">
        <v>1597</v>
      </c>
      <c r="J504" s="5"/>
      <c r="K504" s="7"/>
      <c r="L504" s="6"/>
      <c r="M504" s="5"/>
      <c r="N504" s="2" t="s">
        <v>1568</v>
      </c>
      <c r="Q504" s="3" t="b">
        <f t="shared" si="344"/>
        <v>0</v>
      </c>
      <c r="R504" s="3" t="b">
        <f t="shared" si="345"/>
        <v>0</v>
      </c>
      <c r="T504" s="3" t="b">
        <f t="shared" si="346"/>
        <v>0</v>
      </c>
      <c r="U504" s="3">
        <f t="shared" si="347"/>
        <v>0</v>
      </c>
      <c r="V504" s="3">
        <f t="shared" si="348"/>
        <v>0</v>
      </c>
      <c r="W504">
        <f t="shared" si="349"/>
        <v>0</v>
      </c>
    </row>
    <row r="505" spans="1:23" ht="33.75" x14ac:dyDescent="0.15">
      <c r="A505" s="10" t="s">
        <v>1954</v>
      </c>
      <c r="B505" s="9" t="s">
        <v>1080</v>
      </c>
      <c r="C505" s="8" t="s">
        <v>1447</v>
      </c>
      <c r="D505" s="5"/>
      <c r="E505" s="4" t="s">
        <v>398</v>
      </c>
      <c r="F505" s="4" t="s">
        <v>1395</v>
      </c>
      <c r="G505" s="7">
        <v>43105</v>
      </c>
      <c r="H505" s="6" t="s">
        <v>951</v>
      </c>
      <c r="I505" s="5" t="s">
        <v>1597</v>
      </c>
      <c r="J505" s="5"/>
      <c r="K505" s="7"/>
      <c r="L505" s="6"/>
      <c r="M505" s="5"/>
      <c r="N505" s="2" t="s">
        <v>1568</v>
      </c>
      <c r="Q505" s="3" t="b">
        <f t="shared" si="344"/>
        <v>0</v>
      </c>
      <c r="R505" s="3" t="b">
        <f t="shared" si="345"/>
        <v>0</v>
      </c>
      <c r="T505" s="3" t="b">
        <f t="shared" si="346"/>
        <v>0</v>
      </c>
      <c r="U505" s="3">
        <f t="shared" si="347"/>
        <v>0</v>
      </c>
      <c r="V505" s="3">
        <f t="shared" si="348"/>
        <v>0</v>
      </c>
      <c r="W505">
        <f t="shared" si="349"/>
        <v>0</v>
      </c>
    </row>
    <row r="506" spans="1:23" ht="45" x14ac:dyDescent="0.15">
      <c r="A506" s="10" t="s">
        <v>1881</v>
      </c>
      <c r="B506" s="9" t="s">
        <v>748</v>
      </c>
      <c r="C506" s="8" t="s">
        <v>1447</v>
      </c>
      <c r="D506" s="5"/>
      <c r="E506" s="4" t="s">
        <v>68</v>
      </c>
      <c r="F506" s="4" t="s">
        <v>1332</v>
      </c>
      <c r="G506" s="7">
        <v>43105</v>
      </c>
      <c r="H506" s="6" t="s">
        <v>951</v>
      </c>
      <c r="I506" s="5" t="s">
        <v>1597</v>
      </c>
      <c r="J506" s="5"/>
      <c r="K506" s="7"/>
      <c r="L506" s="6"/>
      <c r="M506" s="5"/>
      <c r="N506" s="2" t="s">
        <v>1568</v>
      </c>
      <c r="Q506" s="3" t="b">
        <f t="shared" si="344"/>
        <v>0</v>
      </c>
      <c r="R506" s="3" t="b">
        <f t="shared" si="345"/>
        <v>0</v>
      </c>
      <c r="T506" s="3" t="b">
        <f t="shared" si="346"/>
        <v>0</v>
      </c>
      <c r="U506" s="3">
        <f t="shared" si="347"/>
        <v>0</v>
      </c>
      <c r="V506" s="3">
        <f t="shared" si="348"/>
        <v>0</v>
      </c>
      <c r="W506">
        <f t="shared" si="349"/>
        <v>0</v>
      </c>
    </row>
    <row r="507" spans="1:23" ht="33.75" x14ac:dyDescent="0.15">
      <c r="A507" s="10" t="s">
        <v>2595</v>
      </c>
      <c r="B507" s="9" t="s">
        <v>1255</v>
      </c>
      <c r="C507" s="8" t="s">
        <v>1447</v>
      </c>
      <c r="D507" s="5"/>
      <c r="E507" s="4" t="s">
        <v>411</v>
      </c>
      <c r="F507" s="4" t="s">
        <v>297</v>
      </c>
      <c r="G507" s="7">
        <v>43105</v>
      </c>
      <c r="H507" s="6" t="s">
        <v>951</v>
      </c>
      <c r="I507" s="5" t="s">
        <v>1597</v>
      </c>
      <c r="J507" s="5"/>
      <c r="K507" s="7"/>
      <c r="L507" s="6"/>
      <c r="M507" s="5"/>
      <c r="N507" s="2" t="s">
        <v>1568</v>
      </c>
      <c r="Q507" s="3" t="b">
        <f t="shared" si="344"/>
        <v>0</v>
      </c>
      <c r="R507" s="3" t="b">
        <f t="shared" si="345"/>
        <v>0</v>
      </c>
      <c r="T507" s="3" t="b">
        <f t="shared" si="346"/>
        <v>0</v>
      </c>
      <c r="U507" s="3">
        <f t="shared" si="347"/>
        <v>0</v>
      </c>
      <c r="V507" s="3">
        <f t="shared" si="348"/>
        <v>0</v>
      </c>
      <c r="W507">
        <f t="shared" si="349"/>
        <v>0</v>
      </c>
    </row>
    <row r="508" spans="1:23" x14ac:dyDescent="0.15">
      <c r="A508" s="16" t="s">
        <v>935</v>
      </c>
      <c r="B508" s="129" t="s">
        <v>1431</v>
      </c>
      <c r="C508" s="130"/>
      <c r="D508" s="15" t="s">
        <v>1011</v>
      </c>
      <c r="E508" s="14" t="s">
        <v>1548</v>
      </c>
      <c r="F508" s="13" t="s">
        <v>2495</v>
      </c>
      <c r="G508" s="131" t="s">
        <v>1420</v>
      </c>
      <c r="H508" s="132"/>
      <c r="I508" s="132"/>
      <c r="J508" s="132"/>
      <c r="K508" s="132"/>
      <c r="L508" s="132"/>
      <c r="M508" s="133"/>
    </row>
    <row r="509" spans="1:23" x14ac:dyDescent="0.15">
      <c r="A509" s="134" t="s">
        <v>977</v>
      </c>
      <c r="B509" s="136" t="s">
        <v>920</v>
      </c>
      <c r="C509" s="138" t="s">
        <v>1008</v>
      </c>
      <c r="D509" s="140" t="s">
        <v>1009</v>
      </c>
      <c r="E509" s="142" t="s">
        <v>2118</v>
      </c>
      <c r="F509" s="142" t="s">
        <v>1849</v>
      </c>
      <c r="G509" s="144" t="s">
        <v>994</v>
      </c>
      <c r="H509" s="145"/>
      <c r="I509" s="145"/>
      <c r="J509" s="146"/>
      <c r="K509" s="144" t="s">
        <v>982</v>
      </c>
      <c r="L509" s="145"/>
      <c r="M509" s="147"/>
    </row>
    <row r="510" spans="1:23" x14ac:dyDescent="0.15">
      <c r="A510" s="135"/>
      <c r="B510" s="137"/>
      <c r="C510" s="139"/>
      <c r="D510" s="141"/>
      <c r="E510" s="143"/>
      <c r="F510" s="143"/>
      <c r="G510" s="12" t="s">
        <v>1588</v>
      </c>
      <c r="H510" s="12" t="s">
        <v>1578</v>
      </c>
      <c r="I510" s="12" t="s">
        <v>1562</v>
      </c>
      <c r="J510" s="12" t="s">
        <v>1007</v>
      </c>
      <c r="K510" s="12" t="s">
        <v>1588</v>
      </c>
      <c r="L510" s="12" t="s">
        <v>1578</v>
      </c>
      <c r="M510" s="11" t="s">
        <v>1562</v>
      </c>
    </row>
    <row r="511" spans="1:23" ht="45" x14ac:dyDescent="0.15">
      <c r="A511" s="30" t="s">
        <v>2037</v>
      </c>
      <c r="B511" s="29" t="s">
        <v>892</v>
      </c>
      <c r="C511" s="28" t="s">
        <v>1003</v>
      </c>
      <c r="D511" s="27" t="s">
        <v>1014</v>
      </c>
      <c r="E511" s="26" t="s">
        <v>75</v>
      </c>
      <c r="F511" s="26" t="s">
        <v>367</v>
      </c>
      <c r="G511" s="34">
        <v>43090</v>
      </c>
      <c r="H511" s="33" t="s">
        <v>951</v>
      </c>
      <c r="I511" s="5" t="s">
        <v>1569</v>
      </c>
      <c r="J511" s="5" t="s">
        <v>1584</v>
      </c>
      <c r="K511" s="7"/>
      <c r="L511" s="6"/>
      <c r="M511" s="5"/>
      <c r="Q511" s="3" t="b">
        <f t="shared" ref="Q511:Q514" si="350">IF($Q$6&gt;=G511,0)</f>
        <v>0</v>
      </c>
      <c r="R511" s="3">
        <f t="shared" ref="R511:R514" si="351">IF($R$6&gt;=G511,0)</f>
        <v>0</v>
      </c>
      <c r="S511" s="3">
        <f t="shared" ref="S511:S514" si="352">IF($S$6&gt;=G511,0)</f>
        <v>0</v>
      </c>
      <c r="T511" s="3">
        <f t="shared" ref="T511:T514" si="353">IF($T$6&gt;=G511,0)</f>
        <v>0</v>
      </c>
      <c r="U511" s="3">
        <f t="shared" ref="U511:U514" si="354">IF($U$6&gt;=G511,0)</f>
        <v>0</v>
      </c>
      <c r="V511" s="3">
        <f t="shared" ref="V511:V514" si="355">IF($V$6&gt;=G511,0)</f>
        <v>0</v>
      </c>
      <c r="W511">
        <f t="shared" ref="W511:W514" si="356">IF($W$6&gt;=G511,0)</f>
        <v>0</v>
      </c>
    </row>
    <row r="512" spans="1:23" ht="25.5" x14ac:dyDescent="0.15">
      <c r="A512" s="30" t="s">
        <v>2578</v>
      </c>
      <c r="B512" s="29" t="s">
        <v>895</v>
      </c>
      <c r="C512" s="28" t="s">
        <v>1447</v>
      </c>
      <c r="D512" s="27" t="s">
        <v>1014</v>
      </c>
      <c r="E512" s="26" t="s">
        <v>1345</v>
      </c>
      <c r="F512" s="26" t="s">
        <v>279</v>
      </c>
      <c r="G512" s="34">
        <v>43090</v>
      </c>
      <c r="H512" s="33" t="s">
        <v>951</v>
      </c>
      <c r="I512" s="5" t="s">
        <v>1569</v>
      </c>
      <c r="J512" s="5" t="s">
        <v>1584</v>
      </c>
      <c r="K512" s="7"/>
      <c r="L512" s="6"/>
      <c r="M512" s="5"/>
      <c r="Q512" s="3" t="b">
        <f t="shared" si="350"/>
        <v>0</v>
      </c>
      <c r="R512" s="3">
        <f t="shared" si="351"/>
        <v>0</v>
      </c>
      <c r="S512" s="3">
        <f t="shared" si="352"/>
        <v>0</v>
      </c>
      <c r="T512" s="3">
        <f t="shared" si="353"/>
        <v>0</v>
      </c>
      <c r="U512" s="3">
        <f t="shared" si="354"/>
        <v>0</v>
      </c>
      <c r="V512" s="3">
        <f t="shared" si="355"/>
        <v>0</v>
      </c>
      <c r="W512">
        <f t="shared" si="356"/>
        <v>0</v>
      </c>
    </row>
    <row r="513" spans="1:23" ht="25.5" x14ac:dyDescent="0.15">
      <c r="A513" s="30" t="s">
        <v>2380</v>
      </c>
      <c r="B513" s="29" t="s">
        <v>894</v>
      </c>
      <c r="C513" s="28" t="s">
        <v>1447</v>
      </c>
      <c r="D513" s="27" t="s">
        <v>1014</v>
      </c>
      <c r="E513" s="26" t="s">
        <v>123</v>
      </c>
      <c r="F513" s="26" t="s">
        <v>2665</v>
      </c>
      <c r="G513" s="34">
        <v>43090</v>
      </c>
      <c r="H513" s="33" t="s">
        <v>951</v>
      </c>
      <c r="I513" s="5" t="s">
        <v>1569</v>
      </c>
      <c r="J513" s="5" t="s">
        <v>1584</v>
      </c>
      <c r="K513" s="7"/>
      <c r="L513" s="6"/>
      <c r="M513" s="5"/>
      <c r="Q513" s="3" t="b">
        <f t="shared" si="350"/>
        <v>0</v>
      </c>
      <c r="R513" s="3">
        <f t="shared" si="351"/>
        <v>0</v>
      </c>
      <c r="S513" s="3">
        <f t="shared" si="352"/>
        <v>0</v>
      </c>
      <c r="T513" s="3">
        <f t="shared" si="353"/>
        <v>0</v>
      </c>
      <c r="U513" s="3">
        <f t="shared" si="354"/>
        <v>0</v>
      </c>
      <c r="V513" s="3">
        <f t="shared" si="355"/>
        <v>0</v>
      </c>
      <c r="W513">
        <f t="shared" si="356"/>
        <v>0</v>
      </c>
    </row>
    <row r="514" spans="1:23" ht="25.5" x14ac:dyDescent="0.15">
      <c r="A514" s="30" t="s">
        <v>2587</v>
      </c>
      <c r="B514" s="29" t="s">
        <v>893</v>
      </c>
      <c r="C514" s="28" t="s">
        <v>1447</v>
      </c>
      <c r="D514" s="27" t="s">
        <v>1014</v>
      </c>
      <c r="E514" s="26" t="s">
        <v>1074</v>
      </c>
      <c r="F514" s="26" t="s">
        <v>2705</v>
      </c>
      <c r="G514" s="34">
        <v>43090</v>
      </c>
      <c r="H514" s="33" t="s">
        <v>951</v>
      </c>
      <c r="I514" s="5" t="s">
        <v>1569</v>
      </c>
      <c r="J514" s="5" t="s">
        <v>1584</v>
      </c>
      <c r="K514" s="7"/>
      <c r="L514" s="6"/>
      <c r="M514" s="5"/>
      <c r="Q514" s="3" t="b">
        <f t="shared" si="350"/>
        <v>0</v>
      </c>
      <c r="R514" s="3">
        <f t="shared" si="351"/>
        <v>0</v>
      </c>
      <c r="S514" s="3">
        <f t="shared" si="352"/>
        <v>0</v>
      </c>
      <c r="T514" s="3">
        <f t="shared" si="353"/>
        <v>0</v>
      </c>
      <c r="U514" s="3">
        <f t="shared" si="354"/>
        <v>0</v>
      </c>
      <c r="V514" s="3">
        <f t="shared" si="355"/>
        <v>0</v>
      </c>
      <c r="W514">
        <f t="shared" si="356"/>
        <v>0</v>
      </c>
    </row>
    <row r="515" spans="1:23" x14ac:dyDescent="0.15">
      <c r="A515" s="16" t="s">
        <v>935</v>
      </c>
      <c r="B515" s="129" t="s">
        <v>141</v>
      </c>
      <c r="C515" s="130"/>
      <c r="D515" s="15" t="s">
        <v>1011</v>
      </c>
      <c r="E515" s="14" t="s">
        <v>1073</v>
      </c>
      <c r="F515" s="13" t="s">
        <v>2495</v>
      </c>
      <c r="G515" s="131" t="s">
        <v>788</v>
      </c>
      <c r="H515" s="132"/>
      <c r="I515" s="132"/>
      <c r="J515" s="132"/>
      <c r="K515" s="132"/>
      <c r="L515" s="132"/>
      <c r="M515" s="133"/>
    </row>
    <row r="516" spans="1:23" x14ac:dyDescent="0.15">
      <c r="A516" s="134" t="s">
        <v>977</v>
      </c>
      <c r="B516" s="136" t="s">
        <v>920</v>
      </c>
      <c r="C516" s="138" t="s">
        <v>1008</v>
      </c>
      <c r="D516" s="140" t="s">
        <v>1009</v>
      </c>
      <c r="E516" s="142" t="s">
        <v>2118</v>
      </c>
      <c r="F516" s="142" t="s">
        <v>1849</v>
      </c>
      <c r="G516" s="144" t="s">
        <v>994</v>
      </c>
      <c r="H516" s="145"/>
      <c r="I516" s="145"/>
      <c r="J516" s="146"/>
      <c r="K516" s="144" t="s">
        <v>982</v>
      </c>
      <c r="L516" s="145"/>
      <c r="M516" s="147"/>
    </row>
    <row r="517" spans="1:23" x14ac:dyDescent="0.15">
      <c r="A517" s="135"/>
      <c r="B517" s="137"/>
      <c r="C517" s="139"/>
      <c r="D517" s="141"/>
      <c r="E517" s="143"/>
      <c r="F517" s="143"/>
      <c r="G517" s="12" t="s">
        <v>1588</v>
      </c>
      <c r="H517" s="12" t="s">
        <v>1578</v>
      </c>
      <c r="I517" s="12" t="s">
        <v>1562</v>
      </c>
      <c r="J517" s="12" t="s">
        <v>1007</v>
      </c>
      <c r="K517" s="12" t="s">
        <v>1588</v>
      </c>
      <c r="L517" s="12" t="s">
        <v>1578</v>
      </c>
      <c r="M517" s="11" t="s">
        <v>1562</v>
      </c>
    </row>
    <row r="518" spans="1:23" ht="25.5" x14ac:dyDescent="0.15">
      <c r="A518" s="10" t="s">
        <v>2306</v>
      </c>
      <c r="B518" s="9" t="s">
        <v>1073</v>
      </c>
      <c r="C518" s="8" t="s">
        <v>1447</v>
      </c>
      <c r="D518" s="5"/>
      <c r="E518" s="4"/>
      <c r="F518" s="4"/>
      <c r="G518" s="7">
        <v>43112</v>
      </c>
      <c r="H518" s="33"/>
      <c r="I518" s="5" t="s">
        <v>1580</v>
      </c>
      <c r="J518" s="5"/>
      <c r="K518" s="7"/>
      <c r="L518" s="6"/>
      <c r="M518" s="5"/>
      <c r="N518" s="2" t="s">
        <v>1586</v>
      </c>
      <c r="Q518" s="3" t="b">
        <f>IF($Q$6&gt;=G518,0)</f>
        <v>0</v>
      </c>
      <c r="R518" s="3" t="b">
        <f>IF($R$6&gt;=G518,0)</f>
        <v>0</v>
      </c>
      <c r="T518" s="3" t="b">
        <f>IF($T$6&gt;=G518,0)</f>
        <v>0</v>
      </c>
      <c r="U518" s="3" t="b">
        <f>IF($U$6&gt;=G518,0)</f>
        <v>0</v>
      </c>
      <c r="V518" s="3">
        <f>IF($V$6&gt;=G518,0)</f>
        <v>0</v>
      </c>
      <c r="W518">
        <f>IF($W$6&gt;=G518,0)</f>
        <v>0</v>
      </c>
    </row>
    <row r="519" spans="1:23" x14ac:dyDescent="0.15">
      <c r="A519" s="16" t="s">
        <v>935</v>
      </c>
      <c r="B519" s="129" t="s">
        <v>1549</v>
      </c>
      <c r="C519" s="130"/>
      <c r="D519" s="15" t="s">
        <v>1011</v>
      </c>
      <c r="E519" s="14" t="s">
        <v>1466</v>
      </c>
      <c r="F519" s="13" t="s">
        <v>2495</v>
      </c>
      <c r="G519" s="131" t="s">
        <v>828</v>
      </c>
      <c r="H519" s="132"/>
      <c r="I519" s="132"/>
      <c r="J519" s="132"/>
      <c r="K519" s="132"/>
      <c r="L519" s="132"/>
      <c r="M519" s="133"/>
    </row>
    <row r="520" spans="1:23" x14ac:dyDescent="0.15">
      <c r="A520" s="134" t="s">
        <v>977</v>
      </c>
      <c r="B520" s="136" t="s">
        <v>920</v>
      </c>
      <c r="C520" s="138" t="s">
        <v>1008</v>
      </c>
      <c r="D520" s="140" t="s">
        <v>1009</v>
      </c>
      <c r="E520" s="142" t="s">
        <v>2118</v>
      </c>
      <c r="F520" s="142" t="s">
        <v>1849</v>
      </c>
      <c r="G520" s="144" t="s">
        <v>994</v>
      </c>
      <c r="H520" s="145"/>
      <c r="I520" s="145"/>
      <c r="J520" s="146"/>
      <c r="K520" s="144" t="s">
        <v>982</v>
      </c>
      <c r="L520" s="145"/>
      <c r="M520" s="147"/>
    </row>
    <row r="521" spans="1:23" x14ac:dyDescent="0.15">
      <c r="A521" s="135"/>
      <c r="B521" s="137"/>
      <c r="C521" s="139"/>
      <c r="D521" s="141"/>
      <c r="E521" s="143"/>
      <c r="F521" s="143"/>
      <c r="G521" s="12" t="s">
        <v>1588</v>
      </c>
      <c r="H521" s="12" t="s">
        <v>1578</v>
      </c>
      <c r="I521" s="12" t="s">
        <v>1562</v>
      </c>
      <c r="J521" s="12" t="s">
        <v>1007</v>
      </c>
      <c r="K521" s="12" t="s">
        <v>1588</v>
      </c>
      <c r="L521" s="12" t="s">
        <v>1578</v>
      </c>
      <c r="M521" s="11" t="s">
        <v>1562</v>
      </c>
    </row>
    <row r="522" spans="1:23" ht="25.5" x14ac:dyDescent="0.15">
      <c r="A522" s="10" t="s">
        <v>2000</v>
      </c>
      <c r="B522" s="9" t="s">
        <v>1466</v>
      </c>
      <c r="C522" s="8" t="s">
        <v>1447</v>
      </c>
      <c r="D522" s="5"/>
      <c r="E522" s="4"/>
      <c r="F522" s="4"/>
      <c r="G522" s="7">
        <v>43105</v>
      </c>
      <c r="H522" s="33" t="s">
        <v>951</v>
      </c>
      <c r="I522" s="5" t="s">
        <v>1569</v>
      </c>
      <c r="J522" s="5" t="s">
        <v>1016</v>
      </c>
      <c r="K522" s="7"/>
      <c r="L522" s="6"/>
      <c r="M522" s="5"/>
      <c r="Q522" s="3" t="b">
        <f t="shared" ref="Q522:Q525" si="357">IF($Q$6&gt;=G522,0)</f>
        <v>0</v>
      </c>
      <c r="R522" s="3" t="b">
        <f t="shared" ref="R522:R525" si="358">IF($R$6&gt;=G522,0)</f>
        <v>0</v>
      </c>
      <c r="T522" s="3" t="b">
        <f t="shared" ref="T522:T525" si="359">IF($T$6&gt;=G522,0)</f>
        <v>0</v>
      </c>
      <c r="U522" s="3">
        <f t="shared" ref="U522:U525" si="360">IF($U$6&gt;=G522,0)</f>
        <v>0</v>
      </c>
      <c r="V522" s="3">
        <f t="shared" ref="V522:V525" si="361">IF($V$6&gt;=G522,0)</f>
        <v>0</v>
      </c>
      <c r="W522">
        <f t="shared" ref="W522:W525" si="362">IF($W$6&gt;=G522,0)</f>
        <v>0</v>
      </c>
    </row>
    <row r="523" spans="1:23" ht="25.5" x14ac:dyDescent="0.15">
      <c r="A523" s="10" t="s">
        <v>2288</v>
      </c>
      <c r="B523" s="9" t="s">
        <v>528</v>
      </c>
      <c r="C523" s="8" t="s">
        <v>1447</v>
      </c>
      <c r="D523" s="5"/>
      <c r="E523" s="4"/>
      <c r="F523" s="4"/>
      <c r="G523" s="7">
        <v>43105</v>
      </c>
      <c r="H523" s="33" t="s">
        <v>951</v>
      </c>
      <c r="I523" s="5" t="s">
        <v>1569</v>
      </c>
      <c r="J523" s="5" t="s">
        <v>1016</v>
      </c>
      <c r="K523" s="7"/>
      <c r="L523" s="6"/>
      <c r="M523" s="5"/>
      <c r="Q523" s="3" t="b">
        <f t="shared" si="357"/>
        <v>0</v>
      </c>
      <c r="R523" s="3" t="b">
        <f t="shared" si="358"/>
        <v>0</v>
      </c>
      <c r="T523" s="3" t="b">
        <f t="shared" si="359"/>
        <v>0</v>
      </c>
      <c r="U523" s="3">
        <f t="shared" si="360"/>
        <v>0</v>
      </c>
      <c r="V523" s="3">
        <f t="shared" si="361"/>
        <v>0</v>
      </c>
      <c r="W523">
        <f t="shared" si="362"/>
        <v>0</v>
      </c>
    </row>
    <row r="524" spans="1:23" ht="25.5" x14ac:dyDescent="0.15">
      <c r="A524" s="10" t="s">
        <v>2468</v>
      </c>
      <c r="B524" s="9" t="s">
        <v>663</v>
      </c>
      <c r="C524" s="8" t="s">
        <v>1447</v>
      </c>
      <c r="D524" s="5"/>
      <c r="E524" s="4"/>
      <c r="F524" s="4"/>
      <c r="G524" s="7">
        <v>43105</v>
      </c>
      <c r="H524" s="33" t="s">
        <v>951</v>
      </c>
      <c r="I524" s="5" t="s">
        <v>1569</v>
      </c>
      <c r="J524" s="5" t="s">
        <v>1016</v>
      </c>
      <c r="K524" s="7"/>
      <c r="L524" s="6"/>
      <c r="M524" s="5"/>
      <c r="Q524" s="3" t="b">
        <f t="shared" si="357"/>
        <v>0</v>
      </c>
      <c r="R524" s="3" t="b">
        <f t="shared" si="358"/>
        <v>0</v>
      </c>
      <c r="T524" s="3" t="b">
        <f t="shared" si="359"/>
        <v>0</v>
      </c>
      <c r="U524" s="3">
        <f t="shared" si="360"/>
        <v>0</v>
      </c>
      <c r="V524" s="3">
        <f t="shared" si="361"/>
        <v>0</v>
      </c>
      <c r="W524">
        <f t="shared" si="362"/>
        <v>0</v>
      </c>
    </row>
    <row r="525" spans="1:23" ht="25.5" x14ac:dyDescent="0.15">
      <c r="A525" s="10" t="s">
        <v>1759</v>
      </c>
      <c r="B525" s="9" t="s">
        <v>862</v>
      </c>
      <c r="C525" s="8" t="s">
        <v>1447</v>
      </c>
      <c r="D525" s="5"/>
      <c r="E525" s="4"/>
      <c r="F525" s="4"/>
      <c r="G525" s="7">
        <v>43105</v>
      </c>
      <c r="H525" s="33" t="s">
        <v>951</v>
      </c>
      <c r="I525" s="5" t="s">
        <v>1569</v>
      </c>
      <c r="J525" s="5" t="s">
        <v>1016</v>
      </c>
      <c r="K525" s="7"/>
      <c r="L525" s="6"/>
      <c r="M525" s="5"/>
      <c r="Q525" s="3" t="b">
        <f t="shared" si="357"/>
        <v>0</v>
      </c>
      <c r="R525" s="3" t="b">
        <f t="shared" si="358"/>
        <v>0</v>
      </c>
      <c r="T525" s="3" t="b">
        <f t="shared" si="359"/>
        <v>0</v>
      </c>
      <c r="U525" s="3">
        <f t="shared" si="360"/>
        <v>0</v>
      </c>
      <c r="V525" s="3">
        <f t="shared" si="361"/>
        <v>0</v>
      </c>
      <c r="W525">
        <f t="shared" si="362"/>
        <v>0</v>
      </c>
    </row>
    <row r="526" spans="1:23" ht="22.5" x14ac:dyDescent="0.15">
      <c r="A526" s="16" t="s">
        <v>935</v>
      </c>
      <c r="B526" s="129" t="s">
        <v>900</v>
      </c>
      <c r="C526" s="130"/>
      <c r="D526" s="15" t="s">
        <v>1011</v>
      </c>
      <c r="E526" s="14" t="s">
        <v>495</v>
      </c>
      <c r="F526" s="13" t="s">
        <v>2495</v>
      </c>
      <c r="G526" s="131" t="s">
        <v>137</v>
      </c>
      <c r="H526" s="132"/>
      <c r="I526" s="132"/>
      <c r="J526" s="132"/>
      <c r="K526" s="132"/>
      <c r="L526" s="132"/>
      <c r="M526" s="133"/>
    </row>
    <row r="527" spans="1:23" x14ac:dyDescent="0.15">
      <c r="A527" s="134" t="s">
        <v>977</v>
      </c>
      <c r="B527" s="136" t="s">
        <v>920</v>
      </c>
      <c r="C527" s="138" t="s">
        <v>1008</v>
      </c>
      <c r="D527" s="140" t="s">
        <v>1009</v>
      </c>
      <c r="E527" s="142" t="s">
        <v>2118</v>
      </c>
      <c r="F527" s="142" t="s">
        <v>1849</v>
      </c>
      <c r="G527" s="144" t="s">
        <v>994</v>
      </c>
      <c r="H527" s="145"/>
      <c r="I527" s="145"/>
      <c r="J527" s="146"/>
      <c r="K527" s="144" t="s">
        <v>982</v>
      </c>
      <c r="L527" s="145"/>
      <c r="M527" s="147"/>
    </row>
    <row r="528" spans="1:23" x14ac:dyDescent="0.15">
      <c r="A528" s="135"/>
      <c r="B528" s="137"/>
      <c r="C528" s="139"/>
      <c r="D528" s="141"/>
      <c r="E528" s="143"/>
      <c r="F528" s="143"/>
      <c r="G528" s="12" t="s">
        <v>1588</v>
      </c>
      <c r="H528" s="12" t="s">
        <v>1578</v>
      </c>
      <c r="I528" s="12" t="s">
        <v>1562</v>
      </c>
      <c r="J528" s="12" t="s">
        <v>1007</v>
      </c>
      <c r="K528" s="12" t="s">
        <v>1588</v>
      </c>
      <c r="L528" s="12" t="s">
        <v>1578</v>
      </c>
      <c r="M528" s="11" t="s">
        <v>1562</v>
      </c>
    </row>
    <row r="529" spans="1:23" ht="45" x14ac:dyDescent="0.15">
      <c r="A529" s="10" t="s">
        <v>1735</v>
      </c>
      <c r="B529" s="9" t="s">
        <v>117</v>
      </c>
      <c r="C529" s="8" t="s">
        <v>1447</v>
      </c>
      <c r="D529" s="5"/>
      <c r="E529" s="4" t="s">
        <v>770</v>
      </c>
      <c r="F529" s="4" t="s">
        <v>333</v>
      </c>
      <c r="G529" s="34">
        <v>43090</v>
      </c>
      <c r="H529" s="33" t="s">
        <v>951</v>
      </c>
      <c r="I529" s="5" t="s">
        <v>1587</v>
      </c>
      <c r="J529" s="5"/>
      <c r="K529" s="7"/>
      <c r="L529" s="6"/>
      <c r="M529" s="5"/>
      <c r="Q529" s="3" t="b">
        <f t="shared" ref="Q529:Q530" si="363">IF($Q$6&gt;=G529,0)</f>
        <v>0</v>
      </c>
      <c r="R529" s="3">
        <f t="shared" ref="R529:R530" si="364">IF($R$6&gt;=G529,0)</f>
        <v>0</v>
      </c>
      <c r="S529" s="3">
        <f t="shared" ref="S529:S530" si="365">IF($S$6&gt;=G529,0)</f>
        <v>0</v>
      </c>
      <c r="T529" s="3">
        <f t="shared" ref="T529:T530" si="366">IF($T$6&gt;=G529,0)</f>
        <v>0</v>
      </c>
      <c r="U529" s="3">
        <f t="shared" ref="U529:U530" si="367">IF($U$6&gt;=G529,0)</f>
        <v>0</v>
      </c>
      <c r="V529" s="3">
        <f t="shared" ref="V529:V530" si="368">IF($V$6&gt;=G529,0)</f>
        <v>0</v>
      </c>
      <c r="W529">
        <f t="shared" ref="W529:W530" si="369">IF($W$6&gt;=G529,0)</f>
        <v>0</v>
      </c>
    </row>
    <row r="530" spans="1:23" ht="45" x14ac:dyDescent="0.15">
      <c r="A530" s="10" t="s">
        <v>1738</v>
      </c>
      <c r="B530" s="9" t="s">
        <v>1394</v>
      </c>
      <c r="C530" s="8" t="s">
        <v>1447</v>
      </c>
      <c r="D530" s="5"/>
      <c r="E530" s="4" t="s">
        <v>770</v>
      </c>
      <c r="F530" s="4" t="s">
        <v>333</v>
      </c>
      <c r="G530" s="34">
        <v>43090</v>
      </c>
      <c r="H530" s="33" t="s">
        <v>951</v>
      </c>
      <c r="I530" s="5" t="s">
        <v>1587</v>
      </c>
      <c r="J530" s="5"/>
      <c r="K530" s="7"/>
      <c r="L530" s="6"/>
      <c r="M530" s="5"/>
      <c r="Q530" s="3" t="b">
        <f t="shared" si="363"/>
        <v>0</v>
      </c>
      <c r="R530" s="3">
        <f t="shared" si="364"/>
        <v>0</v>
      </c>
      <c r="S530" s="3">
        <f t="shared" si="365"/>
        <v>0</v>
      </c>
      <c r="T530" s="3">
        <f t="shared" si="366"/>
        <v>0</v>
      </c>
      <c r="U530" s="3">
        <f t="shared" si="367"/>
        <v>0</v>
      </c>
      <c r="V530" s="3">
        <f t="shared" si="368"/>
        <v>0</v>
      </c>
      <c r="W530">
        <f t="shared" si="369"/>
        <v>0</v>
      </c>
    </row>
    <row r="531" spans="1:23" x14ac:dyDescent="0.15">
      <c r="A531" s="16" t="s">
        <v>935</v>
      </c>
      <c r="B531" s="129" t="s">
        <v>579</v>
      </c>
      <c r="C531" s="130"/>
      <c r="D531" s="15" t="s">
        <v>1011</v>
      </c>
      <c r="E531" s="14" t="s">
        <v>1311</v>
      </c>
      <c r="F531" s="13" t="s">
        <v>2495</v>
      </c>
      <c r="G531" s="131" t="s">
        <v>1530</v>
      </c>
      <c r="H531" s="132"/>
      <c r="I531" s="132"/>
      <c r="J531" s="132"/>
      <c r="K531" s="132"/>
      <c r="L531" s="132"/>
      <c r="M531" s="133"/>
    </row>
    <row r="532" spans="1:23" x14ac:dyDescent="0.15">
      <c r="A532" s="134" t="s">
        <v>977</v>
      </c>
      <c r="B532" s="136" t="s">
        <v>920</v>
      </c>
      <c r="C532" s="138" t="s">
        <v>1008</v>
      </c>
      <c r="D532" s="140" t="s">
        <v>1009</v>
      </c>
      <c r="E532" s="142" t="s">
        <v>2118</v>
      </c>
      <c r="F532" s="142" t="s">
        <v>1849</v>
      </c>
      <c r="G532" s="144" t="s">
        <v>994</v>
      </c>
      <c r="H532" s="145"/>
      <c r="I532" s="145"/>
      <c r="J532" s="146"/>
      <c r="K532" s="144" t="s">
        <v>982</v>
      </c>
      <c r="L532" s="145"/>
      <c r="M532" s="147"/>
    </row>
    <row r="533" spans="1:23" x14ac:dyDescent="0.15">
      <c r="A533" s="135"/>
      <c r="B533" s="137"/>
      <c r="C533" s="139"/>
      <c r="D533" s="141"/>
      <c r="E533" s="143"/>
      <c r="F533" s="143"/>
      <c r="G533" s="12" t="s">
        <v>1588</v>
      </c>
      <c r="H533" s="12" t="s">
        <v>1578</v>
      </c>
      <c r="I533" s="12" t="s">
        <v>1562</v>
      </c>
      <c r="J533" s="12" t="s">
        <v>1007</v>
      </c>
      <c r="K533" s="12" t="s">
        <v>1588</v>
      </c>
      <c r="L533" s="12" t="s">
        <v>1578</v>
      </c>
      <c r="M533" s="11" t="s">
        <v>1562</v>
      </c>
    </row>
    <row r="534" spans="1:23" ht="78.75" x14ac:dyDescent="0.15">
      <c r="A534" s="10" t="s">
        <v>1979</v>
      </c>
      <c r="B534" s="9" t="s">
        <v>966</v>
      </c>
      <c r="C534" s="8" t="s">
        <v>1003</v>
      </c>
      <c r="D534" s="5" t="s">
        <v>2272</v>
      </c>
      <c r="E534" s="4" t="s">
        <v>783</v>
      </c>
      <c r="F534" s="4" t="s">
        <v>94</v>
      </c>
      <c r="G534" s="7">
        <v>43041</v>
      </c>
      <c r="H534" s="6" t="s">
        <v>951</v>
      </c>
      <c r="I534" s="5" t="s">
        <v>1587</v>
      </c>
      <c r="J534" s="5"/>
      <c r="K534" s="7"/>
      <c r="L534" s="6"/>
      <c r="M534" s="5"/>
      <c r="Q534" s="3">
        <f t="shared" ref="Q534:Q537" si="370">IF($Q$6&gt;=G534,0)</f>
        <v>0</v>
      </c>
      <c r="R534" s="3">
        <f t="shared" ref="R534:R537" si="371">IF($R$6&gt;=G534,0)</f>
        <v>0</v>
      </c>
      <c r="S534" s="3">
        <f t="shared" ref="S534:S537" si="372">IF($S$6&gt;=G534,0)</f>
        <v>0</v>
      </c>
      <c r="T534" s="3">
        <f t="shared" ref="T534:T537" si="373">IF($T$6&gt;=G534,0)</f>
        <v>0</v>
      </c>
      <c r="U534" s="3">
        <f t="shared" ref="U534:U537" si="374">IF($U$6&gt;=G534,0)</f>
        <v>0</v>
      </c>
      <c r="V534" s="3">
        <f t="shared" ref="V534:V537" si="375">IF($V$6&gt;=G534,0)</f>
        <v>0</v>
      </c>
      <c r="W534">
        <f t="shared" ref="W534:W537" si="376">IF($W$6&gt;=G534,0)</f>
        <v>0</v>
      </c>
    </row>
    <row r="535" spans="1:23" ht="45" x14ac:dyDescent="0.15">
      <c r="A535" s="10" t="s">
        <v>1971</v>
      </c>
      <c r="B535" s="9" t="s">
        <v>961</v>
      </c>
      <c r="C535" s="8" t="s">
        <v>1003</v>
      </c>
      <c r="D535" s="5" t="s">
        <v>2272</v>
      </c>
      <c r="E535" s="4" t="s">
        <v>707</v>
      </c>
      <c r="F535" s="4" t="s">
        <v>521</v>
      </c>
      <c r="G535" s="7">
        <v>43041</v>
      </c>
      <c r="H535" s="6" t="s">
        <v>951</v>
      </c>
      <c r="I535" s="5" t="s">
        <v>1587</v>
      </c>
      <c r="J535" s="5"/>
      <c r="K535" s="7"/>
      <c r="L535" s="6"/>
      <c r="M535" s="5"/>
      <c r="Q535" s="3">
        <f t="shared" si="370"/>
        <v>0</v>
      </c>
      <c r="R535" s="3">
        <f t="shared" si="371"/>
        <v>0</v>
      </c>
      <c r="S535" s="3">
        <f t="shared" si="372"/>
        <v>0</v>
      </c>
      <c r="T535" s="3">
        <f t="shared" si="373"/>
        <v>0</v>
      </c>
      <c r="U535" s="3">
        <f t="shared" si="374"/>
        <v>0</v>
      </c>
      <c r="V535" s="3">
        <f t="shared" si="375"/>
        <v>0</v>
      </c>
      <c r="W535">
        <f t="shared" si="376"/>
        <v>0</v>
      </c>
    </row>
    <row r="536" spans="1:23" ht="67.5" x14ac:dyDescent="0.15">
      <c r="A536" s="10" t="s">
        <v>1993</v>
      </c>
      <c r="B536" s="9" t="s">
        <v>931</v>
      </c>
      <c r="C536" s="8" t="s">
        <v>1003</v>
      </c>
      <c r="D536" s="5" t="s">
        <v>2272</v>
      </c>
      <c r="E536" s="4" t="s">
        <v>456</v>
      </c>
      <c r="F536" s="4" t="s">
        <v>350</v>
      </c>
      <c r="G536" s="7">
        <v>43041</v>
      </c>
      <c r="H536" s="6" t="s">
        <v>951</v>
      </c>
      <c r="I536" s="5" t="s">
        <v>1587</v>
      </c>
      <c r="J536" s="5"/>
      <c r="K536" s="7"/>
      <c r="L536" s="6"/>
      <c r="M536" s="5"/>
      <c r="Q536" s="3">
        <f t="shared" si="370"/>
        <v>0</v>
      </c>
      <c r="R536" s="3">
        <f t="shared" si="371"/>
        <v>0</v>
      </c>
      <c r="S536" s="3">
        <f t="shared" si="372"/>
        <v>0</v>
      </c>
      <c r="T536" s="3">
        <f t="shared" si="373"/>
        <v>0</v>
      </c>
      <c r="U536" s="3">
        <f t="shared" si="374"/>
        <v>0</v>
      </c>
      <c r="V536" s="3">
        <f t="shared" si="375"/>
        <v>0</v>
      </c>
      <c r="W536">
        <f t="shared" si="376"/>
        <v>0</v>
      </c>
    </row>
    <row r="537" spans="1:23" ht="67.5" x14ac:dyDescent="0.15">
      <c r="A537" s="10" t="s">
        <v>2434</v>
      </c>
      <c r="B537" s="9" t="s">
        <v>921</v>
      </c>
      <c r="C537" s="8" t="s">
        <v>1003</v>
      </c>
      <c r="D537" s="5" t="s">
        <v>2272</v>
      </c>
      <c r="E537" s="4" t="s">
        <v>709</v>
      </c>
      <c r="F537" s="4" t="s">
        <v>767</v>
      </c>
      <c r="G537" s="7">
        <v>43041</v>
      </c>
      <c r="H537" s="6" t="s">
        <v>951</v>
      </c>
      <c r="I537" s="5" t="s">
        <v>1587</v>
      </c>
      <c r="J537" s="5"/>
      <c r="K537" s="7"/>
      <c r="L537" s="6"/>
      <c r="M537" s="5"/>
      <c r="Q537" s="3">
        <f t="shared" si="370"/>
        <v>0</v>
      </c>
      <c r="R537" s="3">
        <f t="shared" si="371"/>
        <v>0</v>
      </c>
      <c r="S537" s="3">
        <f t="shared" si="372"/>
        <v>0</v>
      </c>
      <c r="T537" s="3">
        <f t="shared" si="373"/>
        <v>0</v>
      </c>
      <c r="U537" s="3">
        <f t="shared" si="374"/>
        <v>0</v>
      </c>
      <c r="V537" s="3">
        <f t="shared" si="375"/>
        <v>0</v>
      </c>
      <c r="W537">
        <f t="shared" si="376"/>
        <v>0</v>
      </c>
    </row>
    <row r="538" spans="1:23" x14ac:dyDescent="0.15">
      <c r="A538" s="16" t="s">
        <v>935</v>
      </c>
      <c r="B538" s="129" t="s">
        <v>1439</v>
      </c>
      <c r="C538" s="130"/>
      <c r="D538" s="15" t="s">
        <v>1011</v>
      </c>
      <c r="E538" s="14" t="s">
        <v>1185</v>
      </c>
      <c r="F538" s="13" t="s">
        <v>2495</v>
      </c>
      <c r="G538" s="131" t="s">
        <v>558</v>
      </c>
      <c r="H538" s="132"/>
      <c r="I538" s="132"/>
      <c r="J538" s="132"/>
      <c r="K538" s="132"/>
      <c r="L538" s="132"/>
      <c r="M538" s="133"/>
    </row>
    <row r="539" spans="1:23" x14ac:dyDescent="0.15">
      <c r="A539" s="134" t="s">
        <v>977</v>
      </c>
      <c r="B539" s="136" t="s">
        <v>920</v>
      </c>
      <c r="C539" s="138" t="s">
        <v>1008</v>
      </c>
      <c r="D539" s="140" t="s">
        <v>1009</v>
      </c>
      <c r="E539" s="142" t="s">
        <v>2118</v>
      </c>
      <c r="F539" s="142" t="s">
        <v>1849</v>
      </c>
      <c r="G539" s="144" t="s">
        <v>994</v>
      </c>
      <c r="H539" s="145"/>
      <c r="I539" s="145"/>
      <c r="J539" s="146"/>
      <c r="K539" s="144" t="s">
        <v>982</v>
      </c>
      <c r="L539" s="145"/>
      <c r="M539" s="147"/>
    </row>
    <row r="540" spans="1:23" x14ac:dyDescent="0.15">
      <c r="A540" s="135"/>
      <c r="B540" s="137"/>
      <c r="C540" s="139"/>
      <c r="D540" s="141"/>
      <c r="E540" s="143"/>
      <c r="F540" s="143"/>
      <c r="G540" s="12" t="s">
        <v>1588</v>
      </c>
      <c r="H540" s="12" t="s">
        <v>1578</v>
      </c>
      <c r="I540" s="12" t="s">
        <v>1562</v>
      </c>
      <c r="J540" s="12" t="s">
        <v>1007</v>
      </c>
      <c r="K540" s="12" t="s">
        <v>1588</v>
      </c>
      <c r="L540" s="12" t="s">
        <v>1578</v>
      </c>
      <c r="M540" s="11" t="s">
        <v>1562</v>
      </c>
    </row>
    <row r="541" spans="1:23" ht="22.5" x14ac:dyDescent="0.15">
      <c r="A541" s="10" t="s">
        <v>1653</v>
      </c>
      <c r="B541" s="9" t="s">
        <v>2240</v>
      </c>
      <c r="C541" s="8" t="s">
        <v>1003</v>
      </c>
      <c r="D541" s="5" t="s">
        <v>1554</v>
      </c>
      <c r="E541" s="4" t="s">
        <v>1342</v>
      </c>
      <c r="F541" s="4" t="s">
        <v>210</v>
      </c>
      <c r="G541" s="7">
        <v>43059</v>
      </c>
      <c r="H541" s="6" t="s">
        <v>951</v>
      </c>
      <c r="I541" s="5" t="s">
        <v>1570</v>
      </c>
      <c r="J541" s="5"/>
      <c r="K541" s="7"/>
      <c r="L541" s="6"/>
      <c r="M541" s="5"/>
      <c r="Q541" s="3">
        <f>IF($Q$6&gt;=G541,0)</f>
        <v>0</v>
      </c>
      <c r="R541" s="3">
        <f>IF($R$6&gt;=G541,0)</f>
        <v>0</v>
      </c>
      <c r="S541" s="3">
        <f>IF($S$6&gt;=G541,0)</f>
        <v>0</v>
      </c>
      <c r="T541" s="3">
        <f>IF($T$6&gt;=G541,0)</f>
        <v>0</v>
      </c>
      <c r="U541" s="3">
        <f>IF($U$6&gt;=G541,0)</f>
        <v>0</v>
      </c>
      <c r="V541" s="3">
        <f>IF($V$6&gt;=G541,0)</f>
        <v>0</v>
      </c>
      <c r="W541">
        <f>IF($W$6&gt;=G541,0)</f>
        <v>0</v>
      </c>
    </row>
    <row r="542" spans="1:23" x14ac:dyDescent="0.15">
      <c r="A542" s="16" t="s">
        <v>935</v>
      </c>
      <c r="B542" s="129" t="s">
        <v>799</v>
      </c>
      <c r="C542" s="130"/>
      <c r="D542" s="15" t="s">
        <v>1011</v>
      </c>
      <c r="E542" s="14" t="s">
        <v>239</v>
      </c>
      <c r="F542" s="13" t="s">
        <v>2495</v>
      </c>
      <c r="G542" s="131" t="s">
        <v>1506</v>
      </c>
      <c r="H542" s="132"/>
      <c r="I542" s="132"/>
      <c r="J542" s="132"/>
      <c r="K542" s="132"/>
      <c r="L542" s="132"/>
      <c r="M542" s="133"/>
    </row>
    <row r="543" spans="1:23" x14ac:dyDescent="0.15">
      <c r="A543" s="134" t="s">
        <v>977</v>
      </c>
      <c r="B543" s="136" t="s">
        <v>920</v>
      </c>
      <c r="C543" s="138" t="s">
        <v>1008</v>
      </c>
      <c r="D543" s="140" t="s">
        <v>1009</v>
      </c>
      <c r="E543" s="142" t="s">
        <v>2118</v>
      </c>
      <c r="F543" s="142" t="s">
        <v>1849</v>
      </c>
      <c r="G543" s="144" t="s">
        <v>994</v>
      </c>
      <c r="H543" s="145"/>
      <c r="I543" s="145"/>
      <c r="J543" s="146"/>
      <c r="K543" s="144" t="s">
        <v>982</v>
      </c>
      <c r="L543" s="145"/>
      <c r="M543" s="147"/>
    </row>
    <row r="544" spans="1:23" x14ac:dyDescent="0.15">
      <c r="A544" s="135"/>
      <c r="B544" s="137"/>
      <c r="C544" s="139"/>
      <c r="D544" s="141"/>
      <c r="E544" s="143"/>
      <c r="F544" s="143"/>
      <c r="G544" s="12" t="s">
        <v>1588</v>
      </c>
      <c r="H544" s="12" t="s">
        <v>1578</v>
      </c>
      <c r="I544" s="12" t="s">
        <v>1562</v>
      </c>
      <c r="J544" s="12" t="s">
        <v>1007</v>
      </c>
      <c r="K544" s="12" t="s">
        <v>1588</v>
      </c>
      <c r="L544" s="12" t="s">
        <v>1578</v>
      </c>
      <c r="M544" s="11" t="s">
        <v>1562</v>
      </c>
    </row>
    <row r="545" spans="1:23" ht="56.25" x14ac:dyDescent="0.15">
      <c r="A545" s="10" t="s">
        <v>2031</v>
      </c>
      <c r="B545" s="9" t="s">
        <v>1094</v>
      </c>
      <c r="C545" s="8" t="s">
        <v>955</v>
      </c>
      <c r="D545" s="5" t="s">
        <v>2163</v>
      </c>
      <c r="E545" s="4" t="s">
        <v>14</v>
      </c>
      <c r="F545" s="4" t="s">
        <v>499</v>
      </c>
      <c r="G545" s="7">
        <v>43059</v>
      </c>
      <c r="H545" s="6" t="s">
        <v>951</v>
      </c>
      <c r="I545" s="5" t="s">
        <v>1593</v>
      </c>
      <c r="J545" s="5"/>
      <c r="K545" s="7"/>
      <c r="L545" s="6"/>
      <c r="M545" s="5"/>
      <c r="Q545" s="3">
        <f t="shared" ref="Q545:Q580" si="377">IF($Q$6&gt;=G545,0)</f>
        <v>0</v>
      </c>
      <c r="R545" s="3">
        <f t="shared" ref="R545:R580" si="378">IF($R$6&gt;=G545,0)</f>
        <v>0</v>
      </c>
      <c r="S545" s="3">
        <f t="shared" ref="S545:S580" si="379">IF($S$6&gt;=G545,0)</f>
        <v>0</v>
      </c>
      <c r="T545" s="3">
        <f t="shared" ref="T545:T580" si="380">IF($T$6&gt;=G545,0)</f>
        <v>0</v>
      </c>
      <c r="U545" s="3">
        <f t="shared" ref="U545:U580" si="381">IF($U$6&gt;=G545,0)</f>
        <v>0</v>
      </c>
      <c r="V545" s="3">
        <f t="shared" ref="V545:V580" si="382">IF($V$6&gt;=G545,0)</f>
        <v>0</v>
      </c>
      <c r="W545">
        <f t="shared" ref="W545:W580" si="383">IF($W$6&gt;=G545,0)</f>
        <v>0</v>
      </c>
    </row>
    <row r="546" spans="1:23" ht="45" x14ac:dyDescent="0.15">
      <c r="A546" s="10" t="s">
        <v>2307</v>
      </c>
      <c r="B546" s="9" t="s">
        <v>1181</v>
      </c>
      <c r="C546" s="8" t="s">
        <v>955</v>
      </c>
      <c r="D546" s="5" t="s">
        <v>2244</v>
      </c>
      <c r="E546" s="4" t="s">
        <v>717</v>
      </c>
      <c r="F546" s="4" t="s">
        <v>514</v>
      </c>
      <c r="G546" s="7">
        <v>43059</v>
      </c>
      <c r="H546" s="6" t="s">
        <v>951</v>
      </c>
      <c r="I546" s="5" t="s">
        <v>1593</v>
      </c>
      <c r="J546" s="5"/>
      <c r="K546" s="7"/>
      <c r="L546" s="6"/>
      <c r="M546" s="5"/>
      <c r="Q546" s="3">
        <f t="shared" si="377"/>
        <v>0</v>
      </c>
      <c r="R546" s="3">
        <f t="shared" si="378"/>
        <v>0</v>
      </c>
      <c r="S546" s="3">
        <f t="shared" si="379"/>
        <v>0</v>
      </c>
      <c r="T546" s="3">
        <f t="shared" si="380"/>
        <v>0</v>
      </c>
      <c r="U546" s="3">
        <f t="shared" si="381"/>
        <v>0</v>
      </c>
      <c r="V546" s="3">
        <f t="shared" si="382"/>
        <v>0</v>
      </c>
      <c r="W546">
        <f t="shared" si="383"/>
        <v>0</v>
      </c>
    </row>
    <row r="547" spans="1:23" ht="45" x14ac:dyDescent="0.15">
      <c r="A547" s="10" t="s">
        <v>2597</v>
      </c>
      <c r="B547" s="9" t="s">
        <v>1078</v>
      </c>
      <c r="C547" s="8" t="s">
        <v>955</v>
      </c>
      <c r="D547" s="5" t="s">
        <v>2163</v>
      </c>
      <c r="E547" s="4" t="s">
        <v>353</v>
      </c>
      <c r="F547" s="4" t="s">
        <v>503</v>
      </c>
      <c r="G547" s="7">
        <v>43059</v>
      </c>
      <c r="H547" s="6" t="s">
        <v>951</v>
      </c>
      <c r="I547" s="5" t="s">
        <v>1593</v>
      </c>
      <c r="J547" s="5"/>
      <c r="K547" s="7"/>
      <c r="L547" s="6"/>
      <c r="M547" s="5"/>
      <c r="Q547" s="3">
        <f t="shared" si="377"/>
        <v>0</v>
      </c>
      <c r="R547" s="3">
        <f t="shared" si="378"/>
        <v>0</v>
      </c>
      <c r="S547" s="3">
        <f t="shared" si="379"/>
        <v>0</v>
      </c>
      <c r="T547" s="3">
        <f t="shared" si="380"/>
        <v>0</v>
      </c>
      <c r="U547" s="3">
        <f t="shared" si="381"/>
        <v>0</v>
      </c>
      <c r="V547" s="3">
        <f t="shared" si="382"/>
        <v>0</v>
      </c>
      <c r="W547">
        <f t="shared" si="383"/>
        <v>0</v>
      </c>
    </row>
    <row r="548" spans="1:23" ht="45" x14ac:dyDescent="0.15">
      <c r="A548" s="10" t="s">
        <v>2608</v>
      </c>
      <c r="B548" s="9" t="s">
        <v>1034</v>
      </c>
      <c r="C548" s="8" t="s">
        <v>955</v>
      </c>
      <c r="D548" s="5" t="s">
        <v>2244</v>
      </c>
      <c r="E548" s="4" t="s">
        <v>1348</v>
      </c>
      <c r="F548" s="4" t="s">
        <v>505</v>
      </c>
      <c r="G548" s="7">
        <v>43059</v>
      </c>
      <c r="H548" s="6" t="s">
        <v>951</v>
      </c>
      <c r="I548" s="5" t="s">
        <v>1593</v>
      </c>
      <c r="J548" s="5"/>
      <c r="K548" s="7"/>
      <c r="L548" s="6"/>
      <c r="M548" s="5"/>
      <c r="Q548" s="3">
        <f t="shared" si="377"/>
        <v>0</v>
      </c>
      <c r="R548" s="3">
        <f t="shared" si="378"/>
        <v>0</v>
      </c>
      <c r="S548" s="3">
        <f t="shared" si="379"/>
        <v>0</v>
      </c>
      <c r="T548" s="3">
        <f t="shared" si="380"/>
        <v>0</v>
      </c>
      <c r="U548" s="3">
        <f t="shared" si="381"/>
        <v>0</v>
      </c>
      <c r="V548" s="3">
        <f t="shared" si="382"/>
        <v>0</v>
      </c>
      <c r="W548">
        <f t="shared" si="383"/>
        <v>0</v>
      </c>
    </row>
    <row r="549" spans="1:23" ht="56.25" x14ac:dyDescent="0.15">
      <c r="A549" s="10" t="s">
        <v>1754</v>
      </c>
      <c r="B549" s="9" t="s">
        <v>1161</v>
      </c>
      <c r="C549" s="8" t="s">
        <v>955</v>
      </c>
      <c r="D549" s="5" t="s">
        <v>2163</v>
      </c>
      <c r="E549" s="4" t="s">
        <v>14</v>
      </c>
      <c r="F549" s="4" t="s">
        <v>499</v>
      </c>
      <c r="G549" s="7">
        <v>43059</v>
      </c>
      <c r="H549" s="6" t="s">
        <v>951</v>
      </c>
      <c r="I549" s="5" t="s">
        <v>1593</v>
      </c>
      <c r="J549" s="5"/>
      <c r="K549" s="7"/>
      <c r="L549" s="6"/>
      <c r="M549" s="5"/>
      <c r="Q549" s="3">
        <f t="shared" si="377"/>
        <v>0</v>
      </c>
      <c r="R549" s="3">
        <f t="shared" si="378"/>
        <v>0</v>
      </c>
      <c r="S549" s="3">
        <f t="shared" si="379"/>
        <v>0</v>
      </c>
      <c r="T549" s="3">
        <f t="shared" si="380"/>
        <v>0</v>
      </c>
      <c r="U549" s="3">
        <f t="shared" si="381"/>
        <v>0</v>
      </c>
      <c r="V549" s="3">
        <f t="shared" si="382"/>
        <v>0</v>
      </c>
      <c r="W549">
        <f t="shared" si="383"/>
        <v>0</v>
      </c>
    </row>
    <row r="550" spans="1:23" ht="45" x14ac:dyDescent="0.15">
      <c r="A550" s="10" t="s">
        <v>2292</v>
      </c>
      <c r="B550" s="9" t="s">
        <v>1110</v>
      </c>
      <c r="C550" s="8" t="s">
        <v>955</v>
      </c>
      <c r="D550" s="5" t="s">
        <v>2244</v>
      </c>
      <c r="E550" s="4" t="s">
        <v>717</v>
      </c>
      <c r="F550" s="4" t="s">
        <v>514</v>
      </c>
      <c r="G550" s="7">
        <v>43059</v>
      </c>
      <c r="H550" s="6" t="s">
        <v>951</v>
      </c>
      <c r="I550" s="5" t="s">
        <v>1593</v>
      </c>
      <c r="J550" s="5"/>
      <c r="K550" s="7"/>
      <c r="L550" s="6"/>
      <c r="M550" s="5"/>
      <c r="Q550" s="3">
        <f t="shared" si="377"/>
        <v>0</v>
      </c>
      <c r="R550" s="3">
        <f t="shared" si="378"/>
        <v>0</v>
      </c>
      <c r="S550" s="3">
        <f t="shared" si="379"/>
        <v>0</v>
      </c>
      <c r="T550" s="3">
        <f t="shared" si="380"/>
        <v>0</v>
      </c>
      <c r="U550" s="3">
        <f t="shared" si="381"/>
        <v>0</v>
      </c>
      <c r="V550" s="3">
        <f t="shared" si="382"/>
        <v>0</v>
      </c>
      <c r="W550">
        <f t="shared" si="383"/>
        <v>0</v>
      </c>
    </row>
    <row r="551" spans="1:23" ht="45" x14ac:dyDescent="0.15">
      <c r="A551" s="10" t="s">
        <v>2418</v>
      </c>
      <c r="B551" s="9" t="s">
        <v>1137</v>
      </c>
      <c r="C551" s="8" t="s">
        <v>955</v>
      </c>
      <c r="D551" s="5" t="s">
        <v>2163</v>
      </c>
      <c r="E551" s="4" t="s">
        <v>353</v>
      </c>
      <c r="F551" s="4" t="s">
        <v>503</v>
      </c>
      <c r="G551" s="7">
        <v>43059</v>
      </c>
      <c r="H551" s="6" t="s">
        <v>951</v>
      </c>
      <c r="I551" s="5" t="s">
        <v>1593</v>
      </c>
      <c r="J551" s="5"/>
      <c r="K551" s="7"/>
      <c r="L551" s="6"/>
      <c r="M551" s="5"/>
      <c r="Q551" s="3">
        <f t="shared" si="377"/>
        <v>0</v>
      </c>
      <c r="R551" s="3">
        <f t="shared" si="378"/>
        <v>0</v>
      </c>
      <c r="S551" s="3">
        <f t="shared" si="379"/>
        <v>0</v>
      </c>
      <c r="T551" s="3">
        <f t="shared" si="380"/>
        <v>0</v>
      </c>
      <c r="U551" s="3">
        <f t="shared" si="381"/>
        <v>0</v>
      </c>
      <c r="V551" s="3">
        <f t="shared" si="382"/>
        <v>0</v>
      </c>
      <c r="W551">
        <f t="shared" si="383"/>
        <v>0</v>
      </c>
    </row>
    <row r="552" spans="1:23" ht="45" x14ac:dyDescent="0.15">
      <c r="A552" s="10" t="s">
        <v>2078</v>
      </c>
      <c r="B552" s="9" t="s">
        <v>1104</v>
      </c>
      <c r="C552" s="8" t="s">
        <v>955</v>
      </c>
      <c r="D552" s="5" t="s">
        <v>2244</v>
      </c>
      <c r="E552" s="4" t="s">
        <v>1348</v>
      </c>
      <c r="F552" s="4" t="s">
        <v>505</v>
      </c>
      <c r="G552" s="7">
        <v>43059</v>
      </c>
      <c r="H552" s="6" t="s">
        <v>951</v>
      </c>
      <c r="I552" s="5" t="s">
        <v>1593</v>
      </c>
      <c r="J552" s="5"/>
      <c r="K552" s="7"/>
      <c r="L552" s="6"/>
      <c r="M552" s="5"/>
      <c r="Q552" s="3">
        <f t="shared" si="377"/>
        <v>0</v>
      </c>
      <c r="R552" s="3">
        <f t="shared" si="378"/>
        <v>0</v>
      </c>
      <c r="S552" s="3">
        <f t="shared" si="379"/>
        <v>0</v>
      </c>
      <c r="T552" s="3">
        <f t="shared" si="380"/>
        <v>0</v>
      </c>
      <c r="U552" s="3">
        <f t="shared" si="381"/>
        <v>0</v>
      </c>
      <c r="V552" s="3">
        <f t="shared" si="382"/>
        <v>0</v>
      </c>
      <c r="W552">
        <f t="shared" si="383"/>
        <v>0</v>
      </c>
    </row>
    <row r="553" spans="1:23" ht="56.25" x14ac:dyDescent="0.15">
      <c r="A553" s="10" t="s">
        <v>1960</v>
      </c>
      <c r="B553" s="9" t="s">
        <v>1027</v>
      </c>
      <c r="C553" s="8" t="s">
        <v>955</v>
      </c>
      <c r="D553" s="5" t="s">
        <v>2163</v>
      </c>
      <c r="E553" s="4" t="s">
        <v>14</v>
      </c>
      <c r="F553" s="4" t="s">
        <v>499</v>
      </c>
      <c r="G553" s="7">
        <v>43098</v>
      </c>
      <c r="H553" s="6" t="s">
        <v>951</v>
      </c>
      <c r="I553" s="5" t="s">
        <v>1585</v>
      </c>
      <c r="J553" s="5"/>
      <c r="K553" s="7"/>
      <c r="L553" s="6"/>
      <c r="M553" s="5"/>
      <c r="N553" s="2" t="s">
        <v>1568</v>
      </c>
      <c r="Q553" s="3" t="b">
        <f t="shared" si="377"/>
        <v>0</v>
      </c>
      <c r="R553" s="3" t="b">
        <f t="shared" si="378"/>
        <v>0</v>
      </c>
      <c r="S553" s="3">
        <f t="shared" si="379"/>
        <v>0</v>
      </c>
      <c r="T553" s="3">
        <f t="shared" si="380"/>
        <v>0</v>
      </c>
      <c r="U553" s="3">
        <f t="shared" si="381"/>
        <v>0</v>
      </c>
      <c r="V553" s="3">
        <f t="shared" si="382"/>
        <v>0</v>
      </c>
      <c r="W553">
        <f t="shared" si="383"/>
        <v>0</v>
      </c>
    </row>
    <row r="554" spans="1:23" ht="45" x14ac:dyDescent="0.15">
      <c r="A554" s="10" t="s">
        <v>2456</v>
      </c>
      <c r="B554" s="9" t="s">
        <v>1144</v>
      </c>
      <c r="C554" s="8" t="s">
        <v>955</v>
      </c>
      <c r="D554" s="5" t="s">
        <v>2244</v>
      </c>
      <c r="E554" s="4" t="s">
        <v>717</v>
      </c>
      <c r="F554" s="4" t="s">
        <v>514</v>
      </c>
      <c r="G554" s="7">
        <v>43098</v>
      </c>
      <c r="H554" s="6" t="s">
        <v>951</v>
      </c>
      <c r="I554" s="5" t="s">
        <v>1585</v>
      </c>
      <c r="J554" s="5"/>
      <c r="K554" s="7"/>
      <c r="L554" s="6"/>
      <c r="M554" s="5"/>
      <c r="N554" s="2" t="s">
        <v>1568</v>
      </c>
      <c r="Q554" s="3" t="b">
        <f t="shared" si="377"/>
        <v>0</v>
      </c>
      <c r="R554" s="3" t="b">
        <f t="shared" si="378"/>
        <v>0</v>
      </c>
      <c r="S554" s="3">
        <f t="shared" si="379"/>
        <v>0</v>
      </c>
      <c r="T554" s="3">
        <f t="shared" si="380"/>
        <v>0</v>
      </c>
      <c r="U554" s="3">
        <f t="shared" si="381"/>
        <v>0</v>
      </c>
      <c r="V554" s="3">
        <f t="shared" si="382"/>
        <v>0</v>
      </c>
      <c r="W554">
        <f t="shared" si="383"/>
        <v>0</v>
      </c>
    </row>
    <row r="555" spans="1:23" ht="45" x14ac:dyDescent="0.15">
      <c r="A555" s="10" t="s">
        <v>2600</v>
      </c>
      <c r="B555" s="9" t="s">
        <v>1060</v>
      </c>
      <c r="C555" s="8" t="s">
        <v>955</v>
      </c>
      <c r="D555" s="5" t="s">
        <v>2163</v>
      </c>
      <c r="E555" s="4" t="s">
        <v>353</v>
      </c>
      <c r="F555" s="4" t="s">
        <v>503</v>
      </c>
      <c r="G555" s="7">
        <v>43098</v>
      </c>
      <c r="H555" s="6" t="s">
        <v>951</v>
      </c>
      <c r="I555" s="5" t="s">
        <v>1585</v>
      </c>
      <c r="J555" s="5"/>
      <c r="K555" s="7"/>
      <c r="L555" s="6"/>
      <c r="M555" s="5"/>
      <c r="N555" s="2" t="s">
        <v>1568</v>
      </c>
      <c r="Q555" s="3" t="b">
        <f t="shared" si="377"/>
        <v>0</v>
      </c>
      <c r="R555" s="3" t="b">
        <f t="shared" si="378"/>
        <v>0</v>
      </c>
      <c r="S555" s="3">
        <f t="shared" si="379"/>
        <v>0</v>
      </c>
      <c r="T555" s="3">
        <f t="shared" si="380"/>
        <v>0</v>
      </c>
      <c r="U555" s="3">
        <f t="shared" si="381"/>
        <v>0</v>
      </c>
      <c r="V555" s="3">
        <f t="shared" si="382"/>
        <v>0</v>
      </c>
      <c r="W555">
        <f t="shared" si="383"/>
        <v>0</v>
      </c>
    </row>
    <row r="556" spans="1:23" ht="45" x14ac:dyDescent="0.15">
      <c r="A556" s="10" t="s">
        <v>1966</v>
      </c>
      <c r="B556" s="9" t="s">
        <v>1076</v>
      </c>
      <c r="C556" s="8" t="s">
        <v>955</v>
      </c>
      <c r="D556" s="5" t="s">
        <v>2244</v>
      </c>
      <c r="E556" s="4" t="s">
        <v>1348</v>
      </c>
      <c r="F556" s="4" t="s">
        <v>505</v>
      </c>
      <c r="G556" s="7">
        <v>43098</v>
      </c>
      <c r="H556" s="6" t="s">
        <v>951</v>
      </c>
      <c r="I556" s="5" t="s">
        <v>1585</v>
      </c>
      <c r="J556" s="5"/>
      <c r="K556" s="7"/>
      <c r="L556" s="6"/>
      <c r="M556" s="5"/>
      <c r="N556" s="2" t="s">
        <v>1568</v>
      </c>
      <c r="Q556" s="3" t="b">
        <f t="shared" si="377"/>
        <v>0</v>
      </c>
      <c r="R556" s="3" t="b">
        <f t="shared" si="378"/>
        <v>0</v>
      </c>
      <c r="S556" s="3">
        <f t="shared" si="379"/>
        <v>0</v>
      </c>
      <c r="T556" s="3">
        <f t="shared" si="380"/>
        <v>0</v>
      </c>
      <c r="U556" s="3">
        <f t="shared" si="381"/>
        <v>0</v>
      </c>
      <c r="V556" s="3">
        <f t="shared" si="382"/>
        <v>0</v>
      </c>
      <c r="W556">
        <f t="shared" si="383"/>
        <v>0</v>
      </c>
    </row>
    <row r="557" spans="1:23" ht="56.25" x14ac:dyDescent="0.15">
      <c r="A557" s="10" t="s">
        <v>2602</v>
      </c>
      <c r="B557" s="9" t="s">
        <v>1047</v>
      </c>
      <c r="C557" s="8" t="s">
        <v>955</v>
      </c>
      <c r="D557" s="5" t="s">
        <v>2163</v>
      </c>
      <c r="E557" s="4" t="s">
        <v>14</v>
      </c>
      <c r="F557" s="4" t="s">
        <v>499</v>
      </c>
      <c r="G557" s="7">
        <v>43098</v>
      </c>
      <c r="H557" s="6" t="s">
        <v>951</v>
      </c>
      <c r="I557" s="5" t="s">
        <v>1585</v>
      </c>
      <c r="J557" s="5"/>
      <c r="K557" s="7"/>
      <c r="L557" s="6"/>
      <c r="M557" s="5"/>
      <c r="N557" s="2" t="s">
        <v>1568</v>
      </c>
      <c r="Q557" s="3" t="b">
        <f t="shared" si="377"/>
        <v>0</v>
      </c>
      <c r="R557" s="3" t="b">
        <f t="shared" si="378"/>
        <v>0</v>
      </c>
      <c r="S557" s="3">
        <f t="shared" si="379"/>
        <v>0</v>
      </c>
      <c r="T557" s="3">
        <f t="shared" si="380"/>
        <v>0</v>
      </c>
      <c r="U557" s="3">
        <f t="shared" si="381"/>
        <v>0</v>
      </c>
      <c r="V557" s="3">
        <f t="shared" si="382"/>
        <v>0</v>
      </c>
      <c r="W557">
        <f t="shared" si="383"/>
        <v>0</v>
      </c>
    </row>
    <row r="558" spans="1:23" ht="45" x14ac:dyDescent="0.15">
      <c r="A558" s="10" t="s">
        <v>1703</v>
      </c>
      <c r="B558" s="9" t="s">
        <v>1056</v>
      </c>
      <c r="C558" s="8" t="s">
        <v>955</v>
      </c>
      <c r="D558" s="5" t="s">
        <v>2244</v>
      </c>
      <c r="E558" s="4" t="s">
        <v>717</v>
      </c>
      <c r="F558" s="4" t="s">
        <v>514</v>
      </c>
      <c r="G558" s="7">
        <v>43098</v>
      </c>
      <c r="H558" s="6" t="s">
        <v>951</v>
      </c>
      <c r="I558" s="5" t="s">
        <v>1585</v>
      </c>
      <c r="J558" s="5"/>
      <c r="K558" s="7"/>
      <c r="L558" s="6"/>
      <c r="M558" s="5"/>
      <c r="N558" s="2" t="s">
        <v>1568</v>
      </c>
      <c r="Q558" s="3" t="b">
        <f t="shared" si="377"/>
        <v>0</v>
      </c>
      <c r="R558" s="3" t="b">
        <f t="shared" si="378"/>
        <v>0</v>
      </c>
      <c r="S558" s="3">
        <f t="shared" si="379"/>
        <v>0</v>
      </c>
      <c r="T558" s="3">
        <f t="shared" si="380"/>
        <v>0</v>
      </c>
      <c r="U558" s="3">
        <f t="shared" si="381"/>
        <v>0</v>
      </c>
      <c r="V558" s="3">
        <f t="shared" si="382"/>
        <v>0</v>
      </c>
      <c r="W558">
        <f t="shared" si="383"/>
        <v>0</v>
      </c>
    </row>
    <row r="559" spans="1:23" ht="45" x14ac:dyDescent="0.15">
      <c r="A559" s="10" t="s">
        <v>1862</v>
      </c>
      <c r="B559" s="9" t="s">
        <v>1096</v>
      </c>
      <c r="C559" s="8" t="s">
        <v>955</v>
      </c>
      <c r="D559" s="5" t="s">
        <v>2163</v>
      </c>
      <c r="E559" s="4" t="s">
        <v>353</v>
      </c>
      <c r="F559" s="4" t="s">
        <v>503</v>
      </c>
      <c r="G559" s="7">
        <v>43098</v>
      </c>
      <c r="H559" s="6" t="s">
        <v>951</v>
      </c>
      <c r="I559" s="5" t="s">
        <v>1585</v>
      </c>
      <c r="J559" s="5"/>
      <c r="K559" s="7"/>
      <c r="L559" s="6"/>
      <c r="M559" s="5"/>
      <c r="N559" s="2" t="s">
        <v>1568</v>
      </c>
      <c r="Q559" s="3" t="b">
        <f t="shared" si="377"/>
        <v>0</v>
      </c>
      <c r="R559" s="3" t="b">
        <f t="shared" si="378"/>
        <v>0</v>
      </c>
      <c r="S559" s="3">
        <f t="shared" si="379"/>
        <v>0</v>
      </c>
      <c r="T559" s="3">
        <f t="shared" si="380"/>
        <v>0</v>
      </c>
      <c r="U559" s="3">
        <f t="shared" si="381"/>
        <v>0</v>
      </c>
      <c r="V559" s="3">
        <f t="shared" si="382"/>
        <v>0</v>
      </c>
      <c r="W559">
        <f t="shared" si="383"/>
        <v>0</v>
      </c>
    </row>
    <row r="560" spans="1:23" ht="45" x14ac:dyDescent="0.15">
      <c r="A560" s="10" t="s">
        <v>2574</v>
      </c>
      <c r="B560" s="9" t="s">
        <v>1139</v>
      </c>
      <c r="C560" s="8" t="s">
        <v>955</v>
      </c>
      <c r="D560" s="5" t="s">
        <v>2244</v>
      </c>
      <c r="E560" s="4" t="s">
        <v>1348</v>
      </c>
      <c r="F560" s="4" t="s">
        <v>505</v>
      </c>
      <c r="G560" s="7">
        <v>43098</v>
      </c>
      <c r="H560" s="6" t="s">
        <v>951</v>
      </c>
      <c r="I560" s="5" t="s">
        <v>1585</v>
      </c>
      <c r="J560" s="5"/>
      <c r="K560" s="7"/>
      <c r="L560" s="6"/>
      <c r="M560" s="5"/>
      <c r="N560" s="2" t="s">
        <v>1568</v>
      </c>
      <c r="Q560" s="3" t="b">
        <f t="shared" si="377"/>
        <v>0</v>
      </c>
      <c r="R560" s="3" t="b">
        <f t="shared" si="378"/>
        <v>0</v>
      </c>
      <c r="S560" s="3">
        <f t="shared" si="379"/>
        <v>0</v>
      </c>
      <c r="T560" s="3">
        <f t="shared" si="380"/>
        <v>0</v>
      </c>
      <c r="U560" s="3">
        <f t="shared" si="381"/>
        <v>0</v>
      </c>
      <c r="V560" s="3">
        <f t="shared" si="382"/>
        <v>0</v>
      </c>
      <c r="W560">
        <f t="shared" si="383"/>
        <v>0</v>
      </c>
    </row>
    <row r="561" spans="1:23" ht="45" x14ac:dyDescent="0.15">
      <c r="A561" s="10" t="s">
        <v>2035</v>
      </c>
      <c r="B561" s="9" t="s">
        <v>1054</v>
      </c>
      <c r="C561" s="8" t="s">
        <v>955</v>
      </c>
      <c r="D561" s="5" t="s">
        <v>2163</v>
      </c>
      <c r="E561" s="4" t="s">
        <v>64</v>
      </c>
      <c r="F561" s="4" t="s">
        <v>499</v>
      </c>
      <c r="G561" s="7">
        <v>43059</v>
      </c>
      <c r="H561" s="6" t="s">
        <v>951</v>
      </c>
      <c r="I561" s="5" t="s">
        <v>1593</v>
      </c>
      <c r="J561" s="5"/>
      <c r="K561" s="7"/>
      <c r="L561" s="6"/>
      <c r="M561" s="5"/>
      <c r="Q561" s="3">
        <f t="shared" si="377"/>
        <v>0</v>
      </c>
      <c r="R561" s="3">
        <f t="shared" si="378"/>
        <v>0</v>
      </c>
      <c r="S561" s="3">
        <f t="shared" si="379"/>
        <v>0</v>
      </c>
      <c r="T561" s="3">
        <f t="shared" si="380"/>
        <v>0</v>
      </c>
      <c r="U561" s="3">
        <f t="shared" si="381"/>
        <v>0</v>
      </c>
      <c r="V561" s="3">
        <f t="shared" si="382"/>
        <v>0</v>
      </c>
      <c r="W561">
        <f t="shared" si="383"/>
        <v>0</v>
      </c>
    </row>
    <row r="562" spans="1:23" ht="45" x14ac:dyDescent="0.15">
      <c r="A562" s="10" t="s">
        <v>1739</v>
      </c>
      <c r="B562" s="9" t="s">
        <v>1132</v>
      </c>
      <c r="C562" s="8" t="s">
        <v>955</v>
      </c>
      <c r="D562" s="5" t="s">
        <v>2244</v>
      </c>
      <c r="E562" s="4" t="s">
        <v>717</v>
      </c>
      <c r="F562" s="4" t="s">
        <v>514</v>
      </c>
      <c r="G562" s="7">
        <v>43059</v>
      </c>
      <c r="H562" s="6" t="s">
        <v>951</v>
      </c>
      <c r="I562" s="5" t="s">
        <v>1593</v>
      </c>
      <c r="J562" s="5"/>
      <c r="K562" s="7"/>
      <c r="L562" s="6"/>
      <c r="M562" s="5"/>
      <c r="Q562" s="3">
        <f t="shared" si="377"/>
        <v>0</v>
      </c>
      <c r="R562" s="3">
        <f t="shared" si="378"/>
        <v>0</v>
      </c>
      <c r="S562" s="3">
        <f t="shared" si="379"/>
        <v>0</v>
      </c>
      <c r="T562" s="3">
        <f t="shared" si="380"/>
        <v>0</v>
      </c>
      <c r="U562" s="3">
        <f t="shared" si="381"/>
        <v>0</v>
      </c>
      <c r="V562" s="3">
        <f t="shared" si="382"/>
        <v>0</v>
      </c>
      <c r="W562">
        <f t="shared" si="383"/>
        <v>0</v>
      </c>
    </row>
    <row r="563" spans="1:23" ht="45" x14ac:dyDescent="0.15">
      <c r="A563" s="10" t="s">
        <v>2371</v>
      </c>
      <c r="B563" s="9" t="s">
        <v>1173</v>
      </c>
      <c r="C563" s="8" t="s">
        <v>955</v>
      </c>
      <c r="D563" s="5" t="s">
        <v>2163</v>
      </c>
      <c r="E563" s="4" t="s">
        <v>485</v>
      </c>
      <c r="F563" s="4" t="s">
        <v>503</v>
      </c>
      <c r="G563" s="7">
        <v>43059</v>
      </c>
      <c r="H563" s="6" t="s">
        <v>951</v>
      </c>
      <c r="I563" s="5" t="s">
        <v>1593</v>
      </c>
      <c r="J563" s="5"/>
      <c r="K563" s="7"/>
      <c r="L563" s="6"/>
      <c r="M563" s="5"/>
      <c r="Q563" s="3">
        <f t="shared" si="377"/>
        <v>0</v>
      </c>
      <c r="R563" s="3">
        <f t="shared" si="378"/>
        <v>0</v>
      </c>
      <c r="S563" s="3">
        <f t="shared" si="379"/>
        <v>0</v>
      </c>
      <c r="T563" s="3">
        <f t="shared" si="380"/>
        <v>0</v>
      </c>
      <c r="U563" s="3">
        <f t="shared" si="381"/>
        <v>0</v>
      </c>
      <c r="V563" s="3">
        <f t="shared" si="382"/>
        <v>0</v>
      </c>
      <c r="W563">
        <f t="shared" si="383"/>
        <v>0</v>
      </c>
    </row>
    <row r="564" spans="1:23" ht="45" x14ac:dyDescent="0.15">
      <c r="A564" s="10" t="s">
        <v>2591</v>
      </c>
      <c r="B564" s="9" t="s">
        <v>1138</v>
      </c>
      <c r="C564" s="8" t="s">
        <v>955</v>
      </c>
      <c r="D564" s="5" t="s">
        <v>2244</v>
      </c>
      <c r="E564" s="4" t="s">
        <v>1348</v>
      </c>
      <c r="F564" s="4" t="s">
        <v>505</v>
      </c>
      <c r="G564" s="7">
        <v>43059</v>
      </c>
      <c r="H564" s="6" t="s">
        <v>951</v>
      </c>
      <c r="I564" s="5" t="s">
        <v>1593</v>
      </c>
      <c r="J564" s="5"/>
      <c r="K564" s="7"/>
      <c r="L564" s="6"/>
      <c r="M564" s="5"/>
      <c r="Q564" s="3">
        <f t="shared" si="377"/>
        <v>0</v>
      </c>
      <c r="R564" s="3">
        <f t="shared" si="378"/>
        <v>0</v>
      </c>
      <c r="S564" s="3">
        <f t="shared" si="379"/>
        <v>0</v>
      </c>
      <c r="T564" s="3">
        <f t="shared" si="380"/>
        <v>0</v>
      </c>
      <c r="U564" s="3">
        <f t="shared" si="381"/>
        <v>0</v>
      </c>
      <c r="V564" s="3">
        <f t="shared" si="382"/>
        <v>0</v>
      </c>
      <c r="W564">
        <f t="shared" si="383"/>
        <v>0</v>
      </c>
    </row>
    <row r="565" spans="1:23" ht="45" x14ac:dyDescent="0.15">
      <c r="A565" s="10" t="s">
        <v>2381</v>
      </c>
      <c r="B565" s="9" t="s">
        <v>1085</v>
      </c>
      <c r="C565" s="8" t="s">
        <v>955</v>
      </c>
      <c r="D565" s="5" t="s">
        <v>1210</v>
      </c>
      <c r="E565" s="4" t="s">
        <v>64</v>
      </c>
      <c r="F565" s="4" t="s">
        <v>499</v>
      </c>
      <c r="G565" s="7">
        <v>43098</v>
      </c>
      <c r="H565" s="6" t="s">
        <v>951</v>
      </c>
      <c r="I565" s="5" t="s">
        <v>1585</v>
      </c>
      <c r="J565" s="5"/>
      <c r="K565" s="7"/>
      <c r="L565" s="6"/>
      <c r="M565" s="5"/>
      <c r="N565" s="2" t="s">
        <v>1568</v>
      </c>
      <c r="Q565" s="3" t="b">
        <f t="shared" si="377"/>
        <v>0</v>
      </c>
      <c r="R565" s="3" t="b">
        <f t="shared" si="378"/>
        <v>0</v>
      </c>
      <c r="S565" s="3">
        <f t="shared" si="379"/>
        <v>0</v>
      </c>
      <c r="T565" s="3">
        <f t="shared" si="380"/>
        <v>0</v>
      </c>
      <c r="U565" s="3">
        <f t="shared" si="381"/>
        <v>0</v>
      </c>
      <c r="V565" s="3">
        <f t="shared" si="382"/>
        <v>0</v>
      </c>
      <c r="W565">
        <f t="shared" si="383"/>
        <v>0</v>
      </c>
    </row>
    <row r="566" spans="1:23" ht="45" x14ac:dyDescent="0.15">
      <c r="A566" s="10" t="s">
        <v>1709</v>
      </c>
      <c r="B566" s="9" t="s">
        <v>1037</v>
      </c>
      <c r="C566" s="8" t="s">
        <v>955</v>
      </c>
      <c r="D566" s="5" t="s">
        <v>2244</v>
      </c>
      <c r="E566" s="4" t="s">
        <v>717</v>
      </c>
      <c r="F566" s="4" t="s">
        <v>514</v>
      </c>
      <c r="G566" s="7">
        <v>43098</v>
      </c>
      <c r="H566" s="6" t="s">
        <v>951</v>
      </c>
      <c r="I566" s="5" t="s">
        <v>1585</v>
      </c>
      <c r="J566" s="5"/>
      <c r="K566" s="7"/>
      <c r="L566" s="6"/>
      <c r="M566" s="5"/>
      <c r="N566" s="2" t="s">
        <v>1568</v>
      </c>
      <c r="Q566" s="3" t="b">
        <f t="shared" si="377"/>
        <v>0</v>
      </c>
      <c r="R566" s="3" t="b">
        <f t="shared" si="378"/>
        <v>0</v>
      </c>
      <c r="S566" s="3">
        <f t="shared" si="379"/>
        <v>0</v>
      </c>
      <c r="T566" s="3">
        <f t="shared" si="380"/>
        <v>0</v>
      </c>
      <c r="U566" s="3">
        <f t="shared" si="381"/>
        <v>0</v>
      </c>
      <c r="V566" s="3">
        <f t="shared" si="382"/>
        <v>0</v>
      </c>
      <c r="W566">
        <f t="shared" si="383"/>
        <v>0</v>
      </c>
    </row>
    <row r="567" spans="1:23" ht="45" x14ac:dyDescent="0.15">
      <c r="A567" s="10" t="s">
        <v>2594</v>
      </c>
      <c r="B567" s="9" t="s">
        <v>1089</v>
      </c>
      <c r="C567" s="8" t="s">
        <v>955</v>
      </c>
      <c r="D567" s="5" t="s">
        <v>1210</v>
      </c>
      <c r="E567" s="4" t="s">
        <v>485</v>
      </c>
      <c r="F567" s="4" t="s">
        <v>503</v>
      </c>
      <c r="G567" s="7">
        <v>43098</v>
      </c>
      <c r="H567" s="6" t="s">
        <v>951</v>
      </c>
      <c r="I567" s="5" t="s">
        <v>1585</v>
      </c>
      <c r="J567" s="5"/>
      <c r="K567" s="7"/>
      <c r="L567" s="6"/>
      <c r="M567" s="5"/>
      <c r="N567" s="2" t="s">
        <v>1568</v>
      </c>
      <c r="Q567" s="3" t="b">
        <f t="shared" si="377"/>
        <v>0</v>
      </c>
      <c r="R567" s="3" t="b">
        <f t="shared" si="378"/>
        <v>0</v>
      </c>
      <c r="S567" s="3">
        <f t="shared" si="379"/>
        <v>0</v>
      </c>
      <c r="T567" s="3">
        <f t="shared" si="380"/>
        <v>0</v>
      </c>
      <c r="U567" s="3">
        <f t="shared" si="381"/>
        <v>0</v>
      </c>
      <c r="V567" s="3">
        <f t="shared" si="382"/>
        <v>0</v>
      </c>
      <c r="W567">
        <f t="shared" si="383"/>
        <v>0</v>
      </c>
    </row>
    <row r="568" spans="1:23" ht="45" x14ac:dyDescent="0.15">
      <c r="A568" s="10" t="s">
        <v>1726</v>
      </c>
      <c r="B568" s="9" t="s">
        <v>1107</v>
      </c>
      <c r="C568" s="8" t="s">
        <v>955</v>
      </c>
      <c r="D568" s="5" t="s">
        <v>2244</v>
      </c>
      <c r="E568" s="4" t="s">
        <v>1348</v>
      </c>
      <c r="F568" s="4" t="s">
        <v>505</v>
      </c>
      <c r="G568" s="7">
        <v>43098</v>
      </c>
      <c r="H568" s="6" t="s">
        <v>951</v>
      </c>
      <c r="I568" s="5" t="s">
        <v>1585</v>
      </c>
      <c r="J568" s="5"/>
      <c r="K568" s="7"/>
      <c r="L568" s="6"/>
      <c r="M568" s="5"/>
      <c r="N568" s="2" t="s">
        <v>1568</v>
      </c>
      <c r="Q568" s="3" t="b">
        <f t="shared" si="377"/>
        <v>0</v>
      </c>
      <c r="R568" s="3" t="b">
        <f t="shared" si="378"/>
        <v>0</v>
      </c>
      <c r="S568" s="3">
        <f t="shared" si="379"/>
        <v>0</v>
      </c>
      <c r="T568" s="3">
        <f t="shared" si="380"/>
        <v>0</v>
      </c>
      <c r="U568" s="3">
        <f t="shared" si="381"/>
        <v>0</v>
      </c>
      <c r="V568" s="3">
        <f t="shared" si="382"/>
        <v>0</v>
      </c>
      <c r="W568">
        <f t="shared" si="383"/>
        <v>0</v>
      </c>
    </row>
    <row r="569" spans="1:23" ht="45" x14ac:dyDescent="0.15">
      <c r="A569" s="10" t="s">
        <v>1744</v>
      </c>
      <c r="B569" s="9" t="s">
        <v>313</v>
      </c>
      <c r="C569" s="8" t="s">
        <v>955</v>
      </c>
      <c r="D569" s="5" t="s">
        <v>2163</v>
      </c>
      <c r="E569" s="4" t="s">
        <v>64</v>
      </c>
      <c r="F569" s="4" t="s">
        <v>499</v>
      </c>
      <c r="G569" s="7">
        <v>43098</v>
      </c>
      <c r="H569" s="6" t="s">
        <v>951</v>
      </c>
      <c r="I569" s="5" t="s">
        <v>1585</v>
      </c>
      <c r="J569" s="5"/>
      <c r="K569" s="7"/>
      <c r="L569" s="6"/>
      <c r="M569" s="5"/>
      <c r="N569" s="2" t="s">
        <v>1568</v>
      </c>
      <c r="Q569" s="3" t="b">
        <f t="shared" si="377"/>
        <v>0</v>
      </c>
      <c r="R569" s="3" t="b">
        <f t="shared" si="378"/>
        <v>0</v>
      </c>
      <c r="S569" s="3">
        <f t="shared" si="379"/>
        <v>0</v>
      </c>
      <c r="T569" s="3">
        <f t="shared" si="380"/>
        <v>0</v>
      </c>
      <c r="U569" s="3">
        <f t="shared" si="381"/>
        <v>0</v>
      </c>
      <c r="V569" s="3">
        <f t="shared" si="382"/>
        <v>0</v>
      </c>
      <c r="W569">
        <f t="shared" si="383"/>
        <v>0</v>
      </c>
    </row>
    <row r="570" spans="1:23" ht="45" x14ac:dyDescent="0.15">
      <c r="A570" s="10" t="s">
        <v>1695</v>
      </c>
      <c r="B570" s="9" t="s">
        <v>312</v>
      </c>
      <c r="C570" s="8" t="s">
        <v>955</v>
      </c>
      <c r="D570" s="5" t="s">
        <v>2244</v>
      </c>
      <c r="E570" s="4" t="s">
        <v>717</v>
      </c>
      <c r="F570" s="4" t="s">
        <v>514</v>
      </c>
      <c r="G570" s="7">
        <v>43098</v>
      </c>
      <c r="H570" s="6" t="s">
        <v>951</v>
      </c>
      <c r="I570" s="5" t="s">
        <v>1585</v>
      </c>
      <c r="J570" s="5"/>
      <c r="K570" s="7"/>
      <c r="L570" s="6"/>
      <c r="M570" s="5"/>
      <c r="N570" s="2" t="s">
        <v>1568</v>
      </c>
      <c r="Q570" s="3" t="b">
        <f t="shared" si="377"/>
        <v>0</v>
      </c>
      <c r="R570" s="3" t="b">
        <f t="shared" si="378"/>
        <v>0</v>
      </c>
      <c r="S570" s="3">
        <f t="shared" si="379"/>
        <v>0</v>
      </c>
      <c r="T570" s="3">
        <f t="shared" si="380"/>
        <v>0</v>
      </c>
      <c r="U570" s="3">
        <f t="shared" si="381"/>
        <v>0</v>
      </c>
      <c r="V570" s="3">
        <f t="shared" si="382"/>
        <v>0</v>
      </c>
      <c r="W570">
        <f t="shared" si="383"/>
        <v>0</v>
      </c>
    </row>
    <row r="571" spans="1:23" ht="45" x14ac:dyDescent="0.15">
      <c r="A571" s="10" t="s">
        <v>2385</v>
      </c>
      <c r="B571" s="9" t="s">
        <v>320</v>
      </c>
      <c r="C571" s="8" t="s">
        <v>955</v>
      </c>
      <c r="D571" s="5" t="s">
        <v>2163</v>
      </c>
      <c r="E571" s="4" t="s">
        <v>485</v>
      </c>
      <c r="F571" s="4" t="s">
        <v>503</v>
      </c>
      <c r="G571" s="7">
        <v>43098</v>
      </c>
      <c r="H571" s="6" t="s">
        <v>951</v>
      </c>
      <c r="I571" s="5" t="s">
        <v>1585</v>
      </c>
      <c r="J571" s="5"/>
      <c r="K571" s="7"/>
      <c r="L571" s="6"/>
      <c r="M571" s="5"/>
      <c r="N571" s="2" t="s">
        <v>1568</v>
      </c>
      <c r="Q571" s="3" t="b">
        <f t="shared" si="377"/>
        <v>0</v>
      </c>
      <c r="R571" s="3" t="b">
        <f t="shared" si="378"/>
        <v>0</v>
      </c>
      <c r="S571" s="3">
        <f t="shared" si="379"/>
        <v>0</v>
      </c>
      <c r="T571" s="3">
        <f t="shared" si="380"/>
        <v>0</v>
      </c>
      <c r="U571" s="3">
        <f t="shared" si="381"/>
        <v>0</v>
      </c>
      <c r="V571" s="3">
        <f t="shared" si="382"/>
        <v>0</v>
      </c>
      <c r="W571">
        <f t="shared" si="383"/>
        <v>0</v>
      </c>
    </row>
    <row r="572" spans="1:23" ht="45" x14ac:dyDescent="0.15">
      <c r="A572" s="10" t="s">
        <v>2365</v>
      </c>
      <c r="B572" s="9" t="s">
        <v>241</v>
      </c>
      <c r="C572" s="8" t="s">
        <v>955</v>
      </c>
      <c r="D572" s="5" t="s">
        <v>2244</v>
      </c>
      <c r="E572" s="4" t="s">
        <v>1348</v>
      </c>
      <c r="F572" s="4" t="s">
        <v>505</v>
      </c>
      <c r="G572" s="7">
        <v>43098</v>
      </c>
      <c r="H572" s="6" t="s">
        <v>951</v>
      </c>
      <c r="I572" s="5" t="s">
        <v>1585</v>
      </c>
      <c r="J572" s="5"/>
      <c r="K572" s="7"/>
      <c r="L572" s="6"/>
      <c r="M572" s="5"/>
      <c r="N572" s="2" t="s">
        <v>1568</v>
      </c>
      <c r="Q572" s="3" t="b">
        <f t="shared" si="377"/>
        <v>0</v>
      </c>
      <c r="R572" s="3" t="b">
        <f t="shared" si="378"/>
        <v>0</v>
      </c>
      <c r="S572" s="3">
        <f t="shared" si="379"/>
        <v>0</v>
      </c>
      <c r="T572" s="3">
        <f t="shared" si="380"/>
        <v>0</v>
      </c>
      <c r="U572" s="3">
        <f t="shared" si="381"/>
        <v>0</v>
      </c>
      <c r="V572" s="3">
        <f t="shared" si="382"/>
        <v>0</v>
      </c>
      <c r="W572">
        <f t="shared" si="383"/>
        <v>0</v>
      </c>
    </row>
    <row r="573" spans="1:23" ht="45" x14ac:dyDescent="0.15">
      <c r="A573" s="10" t="s">
        <v>1683</v>
      </c>
      <c r="B573" s="9" t="s">
        <v>1091</v>
      </c>
      <c r="C573" s="8" t="s">
        <v>955</v>
      </c>
      <c r="D573" s="5" t="s">
        <v>2244</v>
      </c>
      <c r="E573" s="4" t="s">
        <v>77</v>
      </c>
      <c r="F573" s="4" t="s">
        <v>514</v>
      </c>
      <c r="G573" s="7">
        <v>43098</v>
      </c>
      <c r="H573" s="6" t="s">
        <v>951</v>
      </c>
      <c r="I573" s="5" t="s">
        <v>1585</v>
      </c>
      <c r="J573" s="5"/>
      <c r="K573" s="7"/>
      <c r="L573" s="6"/>
      <c r="M573" s="5"/>
      <c r="N573" s="2" t="s">
        <v>1568</v>
      </c>
      <c r="Q573" s="3" t="b">
        <f t="shared" si="377"/>
        <v>0</v>
      </c>
      <c r="R573" s="3" t="b">
        <f t="shared" si="378"/>
        <v>0</v>
      </c>
      <c r="S573" s="3">
        <f t="shared" si="379"/>
        <v>0</v>
      </c>
      <c r="T573" s="3">
        <f t="shared" si="380"/>
        <v>0</v>
      </c>
      <c r="U573" s="3">
        <f t="shared" si="381"/>
        <v>0</v>
      </c>
      <c r="V573" s="3">
        <f t="shared" si="382"/>
        <v>0</v>
      </c>
      <c r="W573">
        <f t="shared" si="383"/>
        <v>0</v>
      </c>
    </row>
    <row r="574" spans="1:23" ht="45" x14ac:dyDescent="0.15">
      <c r="A574" s="10" t="s">
        <v>1715</v>
      </c>
      <c r="B574" s="9" t="s">
        <v>295</v>
      </c>
      <c r="C574" s="8" t="s">
        <v>955</v>
      </c>
      <c r="D574" s="5" t="s">
        <v>972</v>
      </c>
      <c r="E574" s="4" t="s">
        <v>723</v>
      </c>
      <c r="F574" s="4" t="s">
        <v>514</v>
      </c>
      <c r="G574" s="7">
        <v>43098</v>
      </c>
      <c r="H574" s="6" t="s">
        <v>951</v>
      </c>
      <c r="I574" s="5" t="s">
        <v>1585</v>
      </c>
      <c r="J574" s="5"/>
      <c r="K574" s="7"/>
      <c r="L574" s="6"/>
      <c r="M574" s="5"/>
      <c r="N574" s="2" t="s">
        <v>1568</v>
      </c>
      <c r="Q574" s="3" t="b">
        <f t="shared" si="377"/>
        <v>0</v>
      </c>
      <c r="R574" s="3" t="b">
        <f t="shared" si="378"/>
        <v>0</v>
      </c>
      <c r="S574" s="3">
        <f t="shared" si="379"/>
        <v>0</v>
      </c>
      <c r="T574" s="3">
        <f t="shared" si="380"/>
        <v>0</v>
      </c>
      <c r="U574" s="3">
        <f t="shared" si="381"/>
        <v>0</v>
      </c>
      <c r="V574" s="3">
        <f t="shared" si="382"/>
        <v>0</v>
      </c>
      <c r="W574">
        <f t="shared" si="383"/>
        <v>0</v>
      </c>
    </row>
    <row r="575" spans="1:23" ht="45" x14ac:dyDescent="0.15">
      <c r="A575" s="10" t="s">
        <v>1716</v>
      </c>
      <c r="B575" s="9" t="s">
        <v>1167</v>
      </c>
      <c r="C575" s="8" t="s">
        <v>955</v>
      </c>
      <c r="D575" s="5" t="s">
        <v>972</v>
      </c>
      <c r="E575" s="4" t="s">
        <v>723</v>
      </c>
      <c r="F575" s="4" t="s">
        <v>514</v>
      </c>
      <c r="G575" s="7">
        <v>43098</v>
      </c>
      <c r="H575" s="6" t="s">
        <v>951</v>
      </c>
      <c r="I575" s="5" t="s">
        <v>1585</v>
      </c>
      <c r="J575" s="5"/>
      <c r="K575" s="7"/>
      <c r="L575" s="6"/>
      <c r="M575" s="5"/>
      <c r="N575" s="2" t="s">
        <v>1568</v>
      </c>
      <c r="Q575" s="3" t="b">
        <f t="shared" si="377"/>
        <v>0</v>
      </c>
      <c r="R575" s="3" t="b">
        <f t="shared" si="378"/>
        <v>0</v>
      </c>
      <c r="S575" s="3">
        <f t="shared" si="379"/>
        <v>0</v>
      </c>
      <c r="T575" s="3">
        <f t="shared" si="380"/>
        <v>0</v>
      </c>
      <c r="U575" s="3">
        <f t="shared" si="381"/>
        <v>0</v>
      </c>
      <c r="V575" s="3">
        <f t="shared" si="382"/>
        <v>0</v>
      </c>
      <c r="W575">
        <f t="shared" si="383"/>
        <v>0</v>
      </c>
    </row>
    <row r="576" spans="1:23" ht="45" x14ac:dyDescent="0.15">
      <c r="A576" s="10" t="s">
        <v>2532</v>
      </c>
      <c r="B576" s="9" t="s">
        <v>216</v>
      </c>
      <c r="C576" s="8" t="s">
        <v>955</v>
      </c>
      <c r="D576" s="5" t="s">
        <v>972</v>
      </c>
      <c r="E576" s="4" t="s">
        <v>723</v>
      </c>
      <c r="F576" s="4" t="s">
        <v>514</v>
      </c>
      <c r="G576" s="7">
        <v>43098</v>
      </c>
      <c r="H576" s="6" t="s">
        <v>951</v>
      </c>
      <c r="I576" s="5" t="s">
        <v>1585</v>
      </c>
      <c r="J576" s="5"/>
      <c r="K576" s="7"/>
      <c r="L576" s="6"/>
      <c r="M576" s="5"/>
      <c r="N576" s="2" t="s">
        <v>1568</v>
      </c>
      <c r="Q576" s="3" t="b">
        <f t="shared" si="377"/>
        <v>0</v>
      </c>
      <c r="R576" s="3" t="b">
        <f t="shared" si="378"/>
        <v>0</v>
      </c>
      <c r="S576" s="3">
        <f t="shared" si="379"/>
        <v>0</v>
      </c>
      <c r="T576" s="3">
        <f t="shared" si="380"/>
        <v>0</v>
      </c>
      <c r="U576" s="3">
        <f t="shared" si="381"/>
        <v>0</v>
      </c>
      <c r="V576" s="3">
        <f t="shared" si="382"/>
        <v>0</v>
      </c>
      <c r="W576">
        <f t="shared" si="383"/>
        <v>0</v>
      </c>
    </row>
    <row r="577" spans="1:23" ht="45" x14ac:dyDescent="0.15">
      <c r="A577" s="10" t="s">
        <v>2393</v>
      </c>
      <c r="B577" s="9" t="s">
        <v>1136</v>
      </c>
      <c r="C577" s="8" t="s">
        <v>955</v>
      </c>
      <c r="D577" s="5" t="s">
        <v>972</v>
      </c>
      <c r="E577" s="4" t="s">
        <v>723</v>
      </c>
      <c r="F577" s="4" t="s">
        <v>514</v>
      </c>
      <c r="G577" s="7">
        <v>43098</v>
      </c>
      <c r="H577" s="6" t="s">
        <v>951</v>
      </c>
      <c r="I577" s="5" t="s">
        <v>1585</v>
      </c>
      <c r="J577" s="5"/>
      <c r="K577" s="7"/>
      <c r="L577" s="6"/>
      <c r="M577" s="5"/>
      <c r="N577" s="2" t="s">
        <v>1568</v>
      </c>
      <c r="Q577" s="3" t="b">
        <f t="shared" si="377"/>
        <v>0</v>
      </c>
      <c r="R577" s="3" t="b">
        <f t="shared" si="378"/>
        <v>0</v>
      </c>
      <c r="S577" s="3">
        <f t="shared" si="379"/>
        <v>0</v>
      </c>
      <c r="T577" s="3">
        <f t="shared" si="380"/>
        <v>0</v>
      </c>
      <c r="U577" s="3">
        <f t="shared" si="381"/>
        <v>0</v>
      </c>
      <c r="V577" s="3">
        <f t="shared" si="382"/>
        <v>0</v>
      </c>
      <c r="W577">
        <f t="shared" si="383"/>
        <v>0</v>
      </c>
    </row>
    <row r="578" spans="1:23" ht="45" x14ac:dyDescent="0.15">
      <c r="A578" s="10" t="s">
        <v>1866</v>
      </c>
      <c r="B578" s="9" t="s">
        <v>259</v>
      </c>
      <c r="C578" s="8" t="s">
        <v>955</v>
      </c>
      <c r="D578" s="5" t="s">
        <v>972</v>
      </c>
      <c r="E578" s="4" t="s">
        <v>420</v>
      </c>
      <c r="F578" s="4" t="s">
        <v>514</v>
      </c>
      <c r="G578" s="7">
        <v>43098</v>
      </c>
      <c r="H578" s="6" t="s">
        <v>951</v>
      </c>
      <c r="I578" s="5" t="s">
        <v>1585</v>
      </c>
      <c r="J578" s="5"/>
      <c r="K578" s="7"/>
      <c r="L578" s="6"/>
      <c r="M578" s="5"/>
      <c r="N578" s="2" t="s">
        <v>1568</v>
      </c>
      <c r="Q578" s="3" t="b">
        <f t="shared" si="377"/>
        <v>0</v>
      </c>
      <c r="R578" s="3" t="b">
        <f t="shared" si="378"/>
        <v>0</v>
      </c>
      <c r="S578" s="3">
        <f t="shared" si="379"/>
        <v>0</v>
      </c>
      <c r="T578" s="3">
        <f t="shared" si="380"/>
        <v>0</v>
      </c>
      <c r="U578" s="3">
        <f t="shared" si="381"/>
        <v>0</v>
      </c>
      <c r="V578" s="3">
        <f t="shared" si="382"/>
        <v>0</v>
      </c>
      <c r="W578">
        <f t="shared" si="383"/>
        <v>0</v>
      </c>
    </row>
    <row r="579" spans="1:23" ht="45" x14ac:dyDescent="0.15">
      <c r="A579" s="10" t="s">
        <v>2458</v>
      </c>
      <c r="B579" s="9" t="s">
        <v>285</v>
      </c>
      <c r="C579" s="8" t="s">
        <v>955</v>
      </c>
      <c r="D579" s="5" t="s">
        <v>1590</v>
      </c>
      <c r="E579" s="4" t="s">
        <v>0</v>
      </c>
      <c r="F579" s="4" t="s">
        <v>514</v>
      </c>
      <c r="G579" s="7">
        <v>43098</v>
      </c>
      <c r="H579" s="6" t="s">
        <v>951</v>
      </c>
      <c r="I579" s="5" t="s">
        <v>1585</v>
      </c>
      <c r="J579" s="5"/>
      <c r="K579" s="7"/>
      <c r="L579" s="6"/>
      <c r="M579" s="5"/>
      <c r="N579" s="2" t="s">
        <v>1568</v>
      </c>
      <c r="Q579" s="3" t="b">
        <f t="shared" si="377"/>
        <v>0</v>
      </c>
      <c r="R579" s="3" t="b">
        <f t="shared" si="378"/>
        <v>0</v>
      </c>
      <c r="S579" s="3">
        <f t="shared" si="379"/>
        <v>0</v>
      </c>
      <c r="T579" s="3">
        <f t="shared" si="380"/>
        <v>0</v>
      </c>
      <c r="U579" s="3">
        <f t="shared" si="381"/>
        <v>0</v>
      </c>
      <c r="V579" s="3">
        <f t="shared" si="382"/>
        <v>0</v>
      </c>
      <c r="W579">
        <f t="shared" si="383"/>
        <v>0</v>
      </c>
    </row>
    <row r="580" spans="1:23" ht="45" x14ac:dyDescent="0.15">
      <c r="A580" s="10" t="s">
        <v>2235</v>
      </c>
      <c r="B580" s="9" t="s">
        <v>150</v>
      </c>
      <c r="C580" s="8" t="s">
        <v>955</v>
      </c>
      <c r="D580" s="5" t="s">
        <v>1590</v>
      </c>
      <c r="E580" s="4" t="s">
        <v>0</v>
      </c>
      <c r="F580" s="4" t="s">
        <v>514</v>
      </c>
      <c r="G580" s="7">
        <v>43098</v>
      </c>
      <c r="H580" s="6" t="s">
        <v>951</v>
      </c>
      <c r="I580" s="5" t="s">
        <v>1585</v>
      </c>
      <c r="J580" s="5"/>
      <c r="K580" s="7"/>
      <c r="L580" s="6"/>
      <c r="M580" s="5"/>
      <c r="N580" s="2" t="s">
        <v>1568</v>
      </c>
      <c r="Q580" s="3" t="b">
        <f t="shared" si="377"/>
        <v>0</v>
      </c>
      <c r="R580" s="3" t="b">
        <f t="shared" si="378"/>
        <v>0</v>
      </c>
      <c r="S580" s="3">
        <f t="shared" si="379"/>
        <v>0</v>
      </c>
      <c r="T580" s="3">
        <f t="shared" si="380"/>
        <v>0</v>
      </c>
      <c r="U580" s="3">
        <f t="shared" si="381"/>
        <v>0</v>
      </c>
      <c r="V580" s="3">
        <f t="shared" si="382"/>
        <v>0</v>
      </c>
      <c r="W580">
        <f t="shared" si="383"/>
        <v>0</v>
      </c>
    </row>
    <row r="581" spans="1:23" ht="45" x14ac:dyDescent="0.15">
      <c r="A581" s="16" t="s">
        <v>935</v>
      </c>
      <c r="B581" s="129" t="s">
        <v>906</v>
      </c>
      <c r="C581" s="130"/>
      <c r="D581" s="15" t="s">
        <v>1011</v>
      </c>
      <c r="E581" s="14" t="s">
        <v>93</v>
      </c>
      <c r="F581" s="13" t="s">
        <v>2495</v>
      </c>
      <c r="G581" s="131" t="s">
        <v>1529</v>
      </c>
      <c r="H581" s="132"/>
      <c r="I581" s="132"/>
      <c r="J581" s="132"/>
      <c r="K581" s="132"/>
      <c r="L581" s="132"/>
      <c r="M581" s="133"/>
    </row>
    <row r="582" spans="1:23" x14ac:dyDescent="0.15">
      <c r="A582" s="134" t="s">
        <v>977</v>
      </c>
      <c r="B582" s="136" t="s">
        <v>920</v>
      </c>
      <c r="C582" s="138" t="s">
        <v>1008</v>
      </c>
      <c r="D582" s="140" t="s">
        <v>1009</v>
      </c>
      <c r="E582" s="142" t="s">
        <v>2118</v>
      </c>
      <c r="F582" s="142" t="s">
        <v>1849</v>
      </c>
      <c r="G582" s="144" t="s">
        <v>994</v>
      </c>
      <c r="H582" s="145"/>
      <c r="I582" s="145"/>
      <c r="J582" s="146"/>
      <c r="K582" s="144" t="s">
        <v>982</v>
      </c>
      <c r="L582" s="145"/>
      <c r="M582" s="147"/>
    </row>
    <row r="583" spans="1:23" x14ac:dyDescent="0.15">
      <c r="A583" s="135"/>
      <c r="B583" s="137"/>
      <c r="C583" s="139"/>
      <c r="D583" s="141"/>
      <c r="E583" s="143"/>
      <c r="F583" s="143"/>
      <c r="G583" s="12" t="s">
        <v>1588</v>
      </c>
      <c r="H583" s="12" t="s">
        <v>1578</v>
      </c>
      <c r="I583" s="12" t="s">
        <v>1562</v>
      </c>
      <c r="J583" s="12" t="s">
        <v>1007</v>
      </c>
      <c r="K583" s="12" t="s">
        <v>1588</v>
      </c>
      <c r="L583" s="12" t="s">
        <v>1578</v>
      </c>
      <c r="M583" s="11" t="s">
        <v>1562</v>
      </c>
    </row>
    <row r="584" spans="1:23" x14ac:dyDescent="0.15">
      <c r="A584" s="10" t="s">
        <v>1853</v>
      </c>
      <c r="B584" s="9" t="s">
        <v>192</v>
      </c>
      <c r="C584" s="8" t="s">
        <v>955</v>
      </c>
      <c r="D584" s="5"/>
      <c r="E584" s="4"/>
      <c r="F584" s="4"/>
      <c r="G584" s="7">
        <v>43105</v>
      </c>
      <c r="H584" s="6"/>
      <c r="I584" s="5" t="s">
        <v>1579</v>
      </c>
      <c r="J584" s="5"/>
      <c r="K584" s="7"/>
      <c r="L584" s="6"/>
      <c r="M584" s="5"/>
      <c r="N584" s="2" t="s">
        <v>1568</v>
      </c>
      <c r="Q584" s="3" t="b">
        <f t="shared" ref="Q584:Q591" si="384">IF($Q$6&gt;=G584,0)</f>
        <v>0</v>
      </c>
      <c r="R584" s="3" t="b">
        <f t="shared" ref="R584:R591" si="385">IF($R$6&gt;=G584,0)</f>
        <v>0</v>
      </c>
      <c r="T584" s="3" t="b">
        <f t="shared" ref="T584:T591" si="386">IF($T$6&gt;=G584,0)</f>
        <v>0</v>
      </c>
      <c r="U584" s="3">
        <f t="shared" ref="U584:U591" si="387">IF($U$6&gt;=G584,0)</f>
        <v>0</v>
      </c>
      <c r="V584" s="3">
        <f t="shared" ref="V584:V591" si="388">IF($V$6&gt;=G584,0)</f>
        <v>0</v>
      </c>
      <c r="W584">
        <f t="shared" ref="W584:W591" si="389">IF($W$6&gt;=G584,0)</f>
        <v>0</v>
      </c>
    </row>
    <row r="585" spans="1:23" x14ac:dyDescent="0.15">
      <c r="A585" s="10" t="s">
        <v>2225</v>
      </c>
      <c r="B585" s="9" t="s">
        <v>142</v>
      </c>
      <c r="C585" s="8" t="s">
        <v>955</v>
      </c>
      <c r="D585" s="5"/>
      <c r="E585" s="4"/>
      <c r="F585" s="4"/>
      <c r="G585" s="7">
        <v>43105</v>
      </c>
      <c r="H585" s="6"/>
      <c r="I585" s="5" t="s">
        <v>1579</v>
      </c>
      <c r="J585" s="5"/>
      <c r="K585" s="7"/>
      <c r="L585" s="6"/>
      <c r="M585" s="5"/>
      <c r="N585" s="2" t="s">
        <v>1568</v>
      </c>
      <c r="Q585" s="3" t="b">
        <f t="shared" si="384"/>
        <v>0</v>
      </c>
      <c r="R585" s="3" t="b">
        <f t="shared" si="385"/>
        <v>0</v>
      </c>
      <c r="T585" s="3" t="b">
        <f t="shared" si="386"/>
        <v>0</v>
      </c>
      <c r="U585" s="3">
        <f t="shared" si="387"/>
        <v>0</v>
      </c>
      <c r="V585" s="3">
        <f t="shared" si="388"/>
        <v>0</v>
      </c>
      <c r="W585">
        <f t="shared" si="389"/>
        <v>0</v>
      </c>
    </row>
    <row r="586" spans="1:23" x14ac:dyDescent="0.15">
      <c r="A586" s="10" t="s">
        <v>2182</v>
      </c>
      <c r="B586" s="9" t="s">
        <v>284</v>
      </c>
      <c r="C586" s="8" t="s">
        <v>955</v>
      </c>
      <c r="D586" s="5"/>
      <c r="E586" s="4"/>
      <c r="F586" s="4"/>
      <c r="G586" s="7">
        <v>43105</v>
      </c>
      <c r="H586" s="6"/>
      <c r="I586" s="5" t="s">
        <v>1579</v>
      </c>
      <c r="J586" s="5"/>
      <c r="K586" s="7"/>
      <c r="L586" s="6"/>
      <c r="M586" s="5"/>
      <c r="N586" s="2" t="s">
        <v>1568</v>
      </c>
      <c r="Q586" s="3" t="b">
        <f t="shared" si="384"/>
        <v>0</v>
      </c>
      <c r="R586" s="3" t="b">
        <f t="shared" si="385"/>
        <v>0</v>
      </c>
      <c r="T586" s="3" t="b">
        <f t="shared" si="386"/>
        <v>0</v>
      </c>
      <c r="U586" s="3">
        <f t="shared" si="387"/>
        <v>0</v>
      </c>
      <c r="V586" s="3">
        <f t="shared" si="388"/>
        <v>0</v>
      </c>
      <c r="W586">
        <f t="shared" si="389"/>
        <v>0</v>
      </c>
    </row>
    <row r="587" spans="1:23" x14ac:dyDescent="0.15">
      <c r="A587" s="10" t="s">
        <v>2417</v>
      </c>
      <c r="B587" s="9" t="s">
        <v>175</v>
      </c>
      <c r="C587" s="8" t="s">
        <v>955</v>
      </c>
      <c r="D587" s="5"/>
      <c r="E587" s="4"/>
      <c r="F587" s="4"/>
      <c r="G587" s="7">
        <v>43105</v>
      </c>
      <c r="H587" s="6"/>
      <c r="I587" s="5" t="s">
        <v>1579</v>
      </c>
      <c r="J587" s="5"/>
      <c r="K587" s="7"/>
      <c r="L587" s="6"/>
      <c r="M587" s="5"/>
      <c r="N587" s="2" t="s">
        <v>1568</v>
      </c>
      <c r="Q587" s="3" t="b">
        <f t="shared" si="384"/>
        <v>0</v>
      </c>
      <c r="R587" s="3" t="b">
        <f t="shared" si="385"/>
        <v>0</v>
      </c>
      <c r="T587" s="3" t="b">
        <f t="shared" si="386"/>
        <v>0</v>
      </c>
      <c r="U587" s="3">
        <f t="shared" si="387"/>
        <v>0</v>
      </c>
      <c r="V587" s="3">
        <f t="shared" si="388"/>
        <v>0</v>
      </c>
      <c r="W587">
        <f t="shared" si="389"/>
        <v>0</v>
      </c>
    </row>
    <row r="588" spans="1:23" ht="25.5" x14ac:dyDescent="0.15">
      <c r="A588" s="10" t="s">
        <v>2498</v>
      </c>
      <c r="B588" s="9" t="s">
        <v>515</v>
      </c>
      <c r="C588" s="8" t="s">
        <v>955</v>
      </c>
      <c r="D588" s="5"/>
      <c r="E588" s="4"/>
      <c r="F588" s="4"/>
      <c r="G588" s="7">
        <v>43105</v>
      </c>
      <c r="H588" s="6"/>
      <c r="I588" s="5" t="s">
        <v>1573</v>
      </c>
      <c r="J588" s="5"/>
      <c r="K588" s="7"/>
      <c r="L588" s="6"/>
      <c r="M588" s="5"/>
      <c r="N588" s="2" t="s">
        <v>1568</v>
      </c>
      <c r="Q588" s="3" t="b">
        <f t="shared" si="384"/>
        <v>0</v>
      </c>
      <c r="R588" s="3" t="b">
        <f t="shared" si="385"/>
        <v>0</v>
      </c>
      <c r="T588" s="3" t="b">
        <f t="shared" si="386"/>
        <v>0</v>
      </c>
      <c r="U588" s="3">
        <f t="shared" si="387"/>
        <v>0</v>
      </c>
      <c r="V588" s="3">
        <f t="shared" si="388"/>
        <v>0</v>
      </c>
      <c r="W588">
        <f t="shared" si="389"/>
        <v>0</v>
      </c>
    </row>
    <row r="589" spans="1:23" x14ac:dyDescent="0.15">
      <c r="A589" s="10" t="s">
        <v>2315</v>
      </c>
      <c r="B589" s="9" t="s">
        <v>2682</v>
      </c>
      <c r="C589" s="8" t="s">
        <v>955</v>
      </c>
      <c r="D589" s="5"/>
      <c r="E589" s="4"/>
      <c r="F589" s="4"/>
      <c r="G589" s="7">
        <v>43105</v>
      </c>
      <c r="H589" s="6"/>
      <c r="I589" s="5" t="s">
        <v>1573</v>
      </c>
      <c r="J589" s="5"/>
      <c r="K589" s="7"/>
      <c r="L589" s="6"/>
      <c r="M589" s="5"/>
      <c r="N589" s="2" t="s">
        <v>1568</v>
      </c>
      <c r="Q589" s="3" t="b">
        <f t="shared" si="384"/>
        <v>0</v>
      </c>
      <c r="R589" s="3" t="b">
        <f t="shared" si="385"/>
        <v>0</v>
      </c>
      <c r="T589" s="3" t="b">
        <f t="shared" si="386"/>
        <v>0</v>
      </c>
      <c r="U589" s="3">
        <f t="shared" si="387"/>
        <v>0</v>
      </c>
      <c r="V589" s="3">
        <f t="shared" si="388"/>
        <v>0</v>
      </c>
      <c r="W589">
        <f t="shared" si="389"/>
        <v>0</v>
      </c>
    </row>
    <row r="590" spans="1:23" ht="25.5" x14ac:dyDescent="0.15">
      <c r="A590" s="10" t="s">
        <v>2176</v>
      </c>
      <c r="B590" s="9" t="s">
        <v>125</v>
      </c>
      <c r="C590" s="8" t="s">
        <v>955</v>
      </c>
      <c r="D590" s="5"/>
      <c r="E590" s="4"/>
      <c r="F590" s="4"/>
      <c r="G590" s="7">
        <v>43105</v>
      </c>
      <c r="H590" s="6"/>
      <c r="I590" s="5" t="s">
        <v>1573</v>
      </c>
      <c r="J590" s="5"/>
      <c r="K590" s="7"/>
      <c r="L590" s="6"/>
      <c r="M590" s="5"/>
      <c r="N590" s="2" t="s">
        <v>1568</v>
      </c>
      <c r="Q590" s="3" t="b">
        <f t="shared" si="384"/>
        <v>0</v>
      </c>
      <c r="R590" s="3" t="b">
        <f t="shared" si="385"/>
        <v>0</v>
      </c>
      <c r="T590" s="3" t="b">
        <f t="shared" si="386"/>
        <v>0</v>
      </c>
      <c r="U590" s="3">
        <f t="shared" si="387"/>
        <v>0</v>
      </c>
      <c r="V590" s="3">
        <f t="shared" si="388"/>
        <v>0</v>
      </c>
      <c r="W590">
        <f t="shared" si="389"/>
        <v>0</v>
      </c>
    </row>
    <row r="591" spans="1:23" x14ac:dyDescent="0.15">
      <c r="A591" s="10" t="s">
        <v>2485</v>
      </c>
      <c r="B591" s="9" t="s">
        <v>2712</v>
      </c>
      <c r="C591" s="8" t="s">
        <v>955</v>
      </c>
      <c r="D591" s="5"/>
      <c r="E591" s="4"/>
      <c r="F591" s="4"/>
      <c r="G591" s="7">
        <v>43105</v>
      </c>
      <c r="H591" s="6"/>
      <c r="I591" s="5" t="s">
        <v>1573</v>
      </c>
      <c r="J591" s="5"/>
      <c r="K591" s="7"/>
      <c r="L591" s="6"/>
      <c r="M591" s="5"/>
      <c r="N591" s="2" t="s">
        <v>1568</v>
      </c>
      <c r="Q591" s="3" t="b">
        <f t="shared" si="384"/>
        <v>0</v>
      </c>
      <c r="R591" s="3" t="b">
        <f t="shared" si="385"/>
        <v>0</v>
      </c>
      <c r="T591" s="3" t="b">
        <f t="shared" si="386"/>
        <v>0</v>
      </c>
      <c r="U591" s="3">
        <f t="shared" si="387"/>
        <v>0</v>
      </c>
      <c r="V591" s="3">
        <f t="shared" si="388"/>
        <v>0</v>
      </c>
      <c r="W591">
        <f t="shared" si="389"/>
        <v>0</v>
      </c>
    </row>
    <row r="592" spans="1:23" ht="22.5" x14ac:dyDescent="0.15">
      <c r="A592" s="16" t="s">
        <v>935</v>
      </c>
      <c r="B592" s="129" t="s">
        <v>574</v>
      </c>
      <c r="C592" s="130"/>
      <c r="D592" s="15" t="s">
        <v>1011</v>
      </c>
      <c r="E592" s="14" t="s">
        <v>2658</v>
      </c>
      <c r="F592" s="13" t="s">
        <v>2495</v>
      </c>
      <c r="G592" s="131" t="s">
        <v>546</v>
      </c>
      <c r="H592" s="132"/>
      <c r="I592" s="132"/>
      <c r="J592" s="132"/>
      <c r="K592" s="132"/>
      <c r="L592" s="132"/>
      <c r="M592" s="133"/>
    </row>
    <row r="593" spans="1:23" x14ac:dyDescent="0.15">
      <c r="A593" s="134" t="s">
        <v>977</v>
      </c>
      <c r="B593" s="136" t="s">
        <v>920</v>
      </c>
      <c r="C593" s="138" t="s">
        <v>1008</v>
      </c>
      <c r="D593" s="140" t="s">
        <v>1009</v>
      </c>
      <c r="E593" s="142" t="s">
        <v>2118</v>
      </c>
      <c r="F593" s="142" t="s">
        <v>1849</v>
      </c>
      <c r="G593" s="144" t="s">
        <v>994</v>
      </c>
      <c r="H593" s="145"/>
      <c r="I593" s="145"/>
      <c r="J593" s="146"/>
      <c r="K593" s="144" t="s">
        <v>982</v>
      </c>
      <c r="L593" s="145"/>
      <c r="M593" s="147"/>
    </row>
    <row r="594" spans="1:23" x14ac:dyDescent="0.15">
      <c r="A594" s="135"/>
      <c r="B594" s="137"/>
      <c r="C594" s="139"/>
      <c r="D594" s="141"/>
      <c r="E594" s="143"/>
      <c r="F594" s="143"/>
      <c r="G594" s="12" t="s">
        <v>1588</v>
      </c>
      <c r="H594" s="12" t="s">
        <v>1578</v>
      </c>
      <c r="I594" s="12" t="s">
        <v>1562</v>
      </c>
      <c r="J594" s="12" t="s">
        <v>1007</v>
      </c>
      <c r="K594" s="12" t="s">
        <v>1588</v>
      </c>
      <c r="L594" s="12" t="s">
        <v>1578</v>
      </c>
      <c r="M594" s="11" t="s">
        <v>1562</v>
      </c>
    </row>
    <row r="595" spans="1:23" ht="45" x14ac:dyDescent="0.15">
      <c r="A595" s="10" t="s">
        <v>2356</v>
      </c>
      <c r="B595" s="9" t="s">
        <v>186</v>
      </c>
      <c r="C595" s="8" t="s">
        <v>1447</v>
      </c>
      <c r="D595" s="5" t="s">
        <v>1293</v>
      </c>
      <c r="E595" s="4" t="s">
        <v>689</v>
      </c>
      <c r="F595" s="4" t="s">
        <v>516</v>
      </c>
      <c r="G595" s="7">
        <v>43059</v>
      </c>
      <c r="H595" s="6" t="s">
        <v>951</v>
      </c>
      <c r="I595" s="5" t="s">
        <v>1573</v>
      </c>
      <c r="J595" s="5"/>
      <c r="K595" s="7"/>
      <c r="L595" s="6"/>
      <c r="M595" s="5"/>
      <c r="N595" s="32"/>
      <c r="Q595" s="3">
        <f t="shared" ref="Q595:Q626" si="390">IF($Q$6&gt;=G595,0)</f>
        <v>0</v>
      </c>
      <c r="R595" s="3">
        <f t="shared" ref="R595:R626" si="391">IF($R$6&gt;=G595,0)</f>
        <v>0</v>
      </c>
      <c r="S595" s="3">
        <f t="shared" ref="S595:S626" si="392">IF($S$6&gt;=G595,0)</f>
        <v>0</v>
      </c>
      <c r="T595" s="3">
        <f t="shared" ref="T595:T626" si="393">IF($T$6&gt;=G595,0)</f>
        <v>0</v>
      </c>
      <c r="U595" s="3">
        <f t="shared" ref="U595:U626" si="394">IF($U$6&gt;=G595,0)</f>
        <v>0</v>
      </c>
      <c r="V595" s="3">
        <f t="shared" ref="V595:V626" si="395">IF($V$6&gt;=G595,0)</f>
        <v>0</v>
      </c>
      <c r="W595">
        <f t="shared" ref="W595:W626" si="396">IF($W$6&gt;=G595,0)</f>
        <v>0</v>
      </c>
    </row>
    <row r="596" spans="1:23" ht="45" x14ac:dyDescent="0.15">
      <c r="A596" s="10" t="s">
        <v>2368</v>
      </c>
      <c r="B596" s="9" t="s">
        <v>245</v>
      </c>
      <c r="C596" s="8" t="s">
        <v>1447</v>
      </c>
      <c r="D596" s="5" t="s">
        <v>1293</v>
      </c>
      <c r="E596" s="4" t="s">
        <v>425</v>
      </c>
      <c r="F596" s="4" t="s">
        <v>352</v>
      </c>
      <c r="G596" s="7">
        <v>43059</v>
      </c>
      <c r="H596" s="6" t="s">
        <v>951</v>
      </c>
      <c r="I596" s="5" t="s">
        <v>1573</v>
      </c>
      <c r="J596" s="5"/>
      <c r="K596" s="7"/>
      <c r="L596" s="6"/>
      <c r="M596" s="5"/>
      <c r="N596" s="32"/>
      <c r="Q596" s="3">
        <f t="shared" si="390"/>
        <v>0</v>
      </c>
      <c r="R596" s="3">
        <f t="shared" si="391"/>
        <v>0</v>
      </c>
      <c r="S596" s="3">
        <f t="shared" si="392"/>
        <v>0</v>
      </c>
      <c r="T596" s="3">
        <f t="shared" si="393"/>
        <v>0</v>
      </c>
      <c r="U596" s="3">
        <f t="shared" si="394"/>
        <v>0</v>
      </c>
      <c r="V596" s="3">
        <f t="shared" si="395"/>
        <v>0</v>
      </c>
      <c r="W596">
        <f t="shared" si="396"/>
        <v>0</v>
      </c>
    </row>
    <row r="597" spans="1:23" ht="45" x14ac:dyDescent="0.15">
      <c r="A597" s="10" t="s">
        <v>2188</v>
      </c>
      <c r="B597" s="9" t="s">
        <v>200</v>
      </c>
      <c r="C597" s="8" t="s">
        <v>1447</v>
      </c>
      <c r="D597" s="5" t="s">
        <v>1293</v>
      </c>
      <c r="E597" s="4" t="s">
        <v>689</v>
      </c>
      <c r="F597" s="4" t="s">
        <v>516</v>
      </c>
      <c r="G597" s="7">
        <v>43059</v>
      </c>
      <c r="H597" s="6" t="s">
        <v>951</v>
      </c>
      <c r="I597" s="5" t="s">
        <v>1573</v>
      </c>
      <c r="J597" s="5"/>
      <c r="K597" s="7"/>
      <c r="L597" s="6"/>
      <c r="M597" s="5"/>
      <c r="N597" s="32"/>
      <c r="Q597" s="3">
        <f t="shared" si="390"/>
        <v>0</v>
      </c>
      <c r="R597" s="3">
        <f t="shared" si="391"/>
        <v>0</v>
      </c>
      <c r="S597" s="3">
        <f t="shared" si="392"/>
        <v>0</v>
      </c>
      <c r="T597" s="3">
        <f t="shared" si="393"/>
        <v>0</v>
      </c>
      <c r="U597" s="3">
        <f t="shared" si="394"/>
        <v>0</v>
      </c>
      <c r="V597" s="3">
        <f t="shared" si="395"/>
        <v>0</v>
      </c>
      <c r="W597">
        <f t="shared" si="396"/>
        <v>0</v>
      </c>
    </row>
    <row r="598" spans="1:23" ht="45" x14ac:dyDescent="0.15">
      <c r="A598" s="10" t="s">
        <v>2425</v>
      </c>
      <c r="B598" s="9" t="s">
        <v>269</v>
      </c>
      <c r="C598" s="8" t="s">
        <v>1447</v>
      </c>
      <c r="D598" s="5" t="s">
        <v>1293</v>
      </c>
      <c r="E598" s="4" t="s">
        <v>694</v>
      </c>
      <c r="F598" s="4" t="s">
        <v>497</v>
      </c>
      <c r="G598" s="7">
        <v>43059</v>
      </c>
      <c r="H598" s="6" t="s">
        <v>951</v>
      </c>
      <c r="I598" s="5" t="s">
        <v>1573</v>
      </c>
      <c r="J598" s="5"/>
      <c r="K598" s="7"/>
      <c r="L598" s="6"/>
      <c r="M598" s="5"/>
      <c r="Q598" s="3">
        <f t="shared" si="390"/>
        <v>0</v>
      </c>
      <c r="R598" s="3">
        <f t="shared" si="391"/>
        <v>0</v>
      </c>
      <c r="S598" s="3">
        <f t="shared" si="392"/>
        <v>0</v>
      </c>
      <c r="T598" s="3">
        <f t="shared" si="393"/>
        <v>0</v>
      </c>
      <c r="U598" s="3">
        <f t="shared" si="394"/>
        <v>0</v>
      </c>
      <c r="V598" s="3">
        <f t="shared" si="395"/>
        <v>0</v>
      </c>
      <c r="W598">
        <f t="shared" si="396"/>
        <v>0</v>
      </c>
    </row>
    <row r="599" spans="1:23" ht="45" x14ac:dyDescent="0.15">
      <c r="A599" s="10" t="s">
        <v>2215</v>
      </c>
      <c r="B599" s="9" t="s">
        <v>147</v>
      </c>
      <c r="C599" s="8" t="s">
        <v>1447</v>
      </c>
      <c r="D599" s="5" t="s">
        <v>738</v>
      </c>
      <c r="E599" s="4" t="s">
        <v>61</v>
      </c>
      <c r="F599" s="4" t="s">
        <v>383</v>
      </c>
      <c r="G599" s="7">
        <v>43098</v>
      </c>
      <c r="H599" s="6" t="s">
        <v>951</v>
      </c>
      <c r="I599" s="5" t="s">
        <v>1587</v>
      </c>
      <c r="J599" s="5"/>
      <c r="K599" s="7"/>
      <c r="L599" s="6"/>
      <c r="M599" s="5"/>
      <c r="N599" s="2" t="s">
        <v>1568</v>
      </c>
      <c r="Q599" s="3" t="b">
        <f t="shared" si="390"/>
        <v>0</v>
      </c>
      <c r="R599" s="3" t="b">
        <f t="shared" si="391"/>
        <v>0</v>
      </c>
      <c r="S599" s="3">
        <f t="shared" si="392"/>
        <v>0</v>
      </c>
      <c r="T599" s="3">
        <f t="shared" si="393"/>
        <v>0</v>
      </c>
      <c r="U599" s="3">
        <f t="shared" si="394"/>
        <v>0</v>
      </c>
      <c r="V599" s="3">
        <f t="shared" si="395"/>
        <v>0</v>
      </c>
      <c r="W599">
        <f t="shared" si="396"/>
        <v>0</v>
      </c>
    </row>
    <row r="600" spans="1:23" ht="45" x14ac:dyDescent="0.15">
      <c r="A600" s="10" t="s">
        <v>1731</v>
      </c>
      <c r="B600" s="9" t="s">
        <v>227</v>
      </c>
      <c r="C600" s="8" t="s">
        <v>1447</v>
      </c>
      <c r="D600" s="5" t="s">
        <v>738</v>
      </c>
      <c r="E600" s="4" t="s">
        <v>73</v>
      </c>
      <c r="F600" s="4" t="s">
        <v>370</v>
      </c>
      <c r="G600" s="7">
        <v>43098</v>
      </c>
      <c r="H600" s="6" t="s">
        <v>951</v>
      </c>
      <c r="I600" s="5" t="s">
        <v>1587</v>
      </c>
      <c r="J600" s="5"/>
      <c r="K600" s="7"/>
      <c r="L600" s="6"/>
      <c r="M600" s="5"/>
      <c r="N600" s="2" t="s">
        <v>1568</v>
      </c>
      <c r="Q600" s="3" t="b">
        <f t="shared" si="390"/>
        <v>0</v>
      </c>
      <c r="R600" s="3" t="b">
        <f t="shared" si="391"/>
        <v>0</v>
      </c>
      <c r="S600" s="3">
        <f t="shared" si="392"/>
        <v>0</v>
      </c>
      <c r="T600" s="3">
        <f t="shared" si="393"/>
        <v>0</v>
      </c>
      <c r="U600" s="3">
        <f t="shared" si="394"/>
        <v>0</v>
      </c>
      <c r="V600" s="3">
        <f t="shared" si="395"/>
        <v>0</v>
      </c>
      <c r="W600">
        <f t="shared" si="396"/>
        <v>0</v>
      </c>
    </row>
    <row r="601" spans="1:23" ht="45" x14ac:dyDescent="0.15">
      <c r="A601" s="10" t="s">
        <v>2390</v>
      </c>
      <c r="B601" s="9" t="s">
        <v>238</v>
      </c>
      <c r="C601" s="8" t="s">
        <v>1447</v>
      </c>
      <c r="D601" s="5" t="s">
        <v>738</v>
      </c>
      <c r="E601" s="4" t="s">
        <v>682</v>
      </c>
      <c r="F601" s="4" t="s">
        <v>383</v>
      </c>
      <c r="G601" s="7">
        <v>43098</v>
      </c>
      <c r="H601" s="6" t="s">
        <v>951</v>
      </c>
      <c r="I601" s="5" t="s">
        <v>1587</v>
      </c>
      <c r="J601" s="5"/>
      <c r="K601" s="7"/>
      <c r="L601" s="6"/>
      <c r="M601" s="5"/>
      <c r="N601" s="2" t="s">
        <v>1568</v>
      </c>
      <c r="Q601" s="3" t="b">
        <f t="shared" si="390"/>
        <v>0</v>
      </c>
      <c r="R601" s="3" t="b">
        <f t="shared" si="391"/>
        <v>0</v>
      </c>
      <c r="S601" s="3">
        <f t="shared" si="392"/>
        <v>0</v>
      </c>
      <c r="T601" s="3">
        <f t="shared" si="393"/>
        <v>0</v>
      </c>
      <c r="U601" s="3">
        <f t="shared" si="394"/>
        <v>0</v>
      </c>
      <c r="V601" s="3">
        <f t="shared" si="395"/>
        <v>0</v>
      </c>
      <c r="W601">
        <f t="shared" si="396"/>
        <v>0</v>
      </c>
    </row>
    <row r="602" spans="1:23" ht="45" x14ac:dyDescent="0.15">
      <c r="A602" s="10" t="s">
        <v>2477</v>
      </c>
      <c r="B602" s="9" t="s">
        <v>198</v>
      </c>
      <c r="C602" s="8" t="s">
        <v>1447</v>
      </c>
      <c r="D602" s="5" t="s">
        <v>738</v>
      </c>
      <c r="E602" s="4" t="s">
        <v>1374</v>
      </c>
      <c r="F602" s="4" t="s">
        <v>400</v>
      </c>
      <c r="G602" s="7">
        <v>43098</v>
      </c>
      <c r="H602" s="6" t="s">
        <v>951</v>
      </c>
      <c r="I602" s="5" t="s">
        <v>1587</v>
      </c>
      <c r="J602" s="5"/>
      <c r="K602" s="7"/>
      <c r="L602" s="6"/>
      <c r="M602" s="5"/>
      <c r="N602" s="2" t="s">
        <v>1568</v>
      </c>
      <c r="Q602" s="3" t="b">
        <f t="shared" si="390"/>
        <v>0</v>
      </c>
      <c r="R602" s="3" t="b">
        <f t="shared" si="391"/>
        <v>0</v>
      </c>
      <c r="S602" s="3">
        <f t="shared" si="392"/>
        <v>0</v>
      </c>
      <c r="T602" s="3">
        <f t="shared" si="393"/>
        <v>0</v>
      </c>
      <c r="U602" s="3">
        <f t="shared" si="394"/>
        <v>0</v>
      </c>
      <c r="V602" s="3">
        <f t="shared" si="395"/>
        <v>0</v>
      </c>
      <c r="W602">
        <f t="shared" si="396"/>
        <v>0</v>
      </c>
    </row>
    <row r="603" spans="1:23" ht="45" x14ac:dyDescent="0.15">
      <c r="A603" s="10" t="s">
        <v>2414</v>
      </c>
      <c r="B603" s="9" t="s">
        <v>240</v>
      </c>
      <c r="C603" s="8" t="s">
        <v>1447</v>
      </c>
      <c r="D603" s="5" t="s">
        <v>738</v>
      </c>
      <c r="E603" s="4" t="s">
        <v>67</v>
      </c>
      <c r="F603" s="4" t="s">
        <v>523</v>
      </c>
      <c r="G603" s="7">
        <v>43098</v>
      </c>
      <c r="H603" s="6" t="s">
        <v>951</v>
      </c>
      <c r="I603" s="5" t="s">
        <v>1587</v>
      </c>
      <c r="J603" s="5"/>
      <c r="K603" s="7"/>
      <c r="L603" s="6"/>
      <c r="M603" s="5"/>
      <c r="N603" s="2" t="s">
        <v>1568</v>
      </c>
      <c r="Q603" s="3" t="b">
        <f t="shared" si="390"/>
        <v>0</v>
      </c>
      <c r="R603" s="3" t="b">
        <f t="shared" si="391"/>
        <v>0</v>
      </c>
      <c r="S603" s="3">
        <f t="shared" si="392"/>
        <v>0</v>
      </c>
      <c r="T603" s="3">
        <f t="shared" si="393"/>
        <v>0</v>
      </c>
      <c r="U603" s="3">
        <f t="shared" si="394"/>
        <v>0</v>
      </c>
      <c r="V603" s="3">
        <f t="shared" si="395"/>
        <v>0</v>
      </c>
      <c r="W603">
        <f t="shared" si="396"/>
        <v>0</v>
      </c>
    </row>
    <row r="604" spans="1:23" ht="45" x14ac:dyDescent="0.15">
      <c r="A604" s="10" t="s">
        <v>1790</v>
      </c>
      <c r="B604" s="9" t="s">
        <v>307</v>
      </c>
      <c r="C604" s="8" t="s">
        <v>1447</v>
      </c>
      <c r="D604" s="5" t="s">
        <v>738</v>
      </c>
      <c r="E604" s="4" t="s">
        <v>718</v>
      </c>
      <c r="F604" s="4" t="s">
        <v>360</v>
      </c>
      <c r="G604" s="7">
        <v>43098</v>
      </c>
      <c r="H604" s="6" t="s">
        <v>951</v>
      </c>
      <c r="I604" s="5" t="s">
        <v>1587</v>
      </c>
      <c r="J604" s="5"/>
      <c r="K604" s="7"/>
      <c r="L604" s="6"/>
      <c r="M604" s="5"/>
      <c r="N604" s="32"/>
      <c r="Q604" s="3" t="b">
        <f t="shared" si="390"/>
        <v>0</v>
      </c>
      <c r="R604" s="3" t="b">
        <f t="shared" si="391"/>
        <v>0</v>
      </c>
      <c r="S604" s="3">
        <f t="shared" si="392"/>
        <v>0</v>
      </c>
      <c r="T604" s="3">
        <f t="shared" si="393"/>
        <v>0</v>
      </c>
      <c r="U604" s="3">
        <f t="shared" si="394"/>
        <v>0</v>
      </c>
      <c r="V604" s="3">
        <f t="shared" si="395"/>
        <v>0</v>
      </c>
      <c r="W604">
        <f t="shared" si="396"/>
        <v>0</v>
      </c>
    </row>
    <row r="605" spans="1:23" ht="45" x14ac:dyDescent="0.15">
      <c r="A605" s="10" t="s">
        <v>2154</v>
      </c>
      <c r="B605" s="9" t="s">
        <v>309</v>
      </c>
      <c r="C605" s="8" t="s">
        <v>1447</v>
      </c>
      <c r="D605" s="5" t="s">
        <v>738</v>
      </c>
      <c r="E605" s="4" t="s">
        <v>684</v>
      </c>
      <c r="F605" s="4" t="s">
        <v>523</v>
      </c>
      <c r="G605" s="7">
        <v>43098</v>
      </c>
      <c r="H605" s="6" t="s">
        <v>951</v>
      </c>
      <c r="I605" s="5" t="s">
        <v>1587</v>
      </c>
      <c r="J605" s="5"/>
      <c r="K605" s="7"/>
      <c r="L605" s="6"/>
      <c r="M605" s="5"/>
      <c r="N605" s="2" t="s">
        <v>1568</v>
      </c>
      <c r="Q605" s="3" t="b">
        <f t="shared" si="390"/>
        <v>0</v>
      </c>
      <c r="R605" s="3" t="b">
        <f t="shared" si="391"/>
        <v>0</v>
      </c>
      <c r="S605" s="3">
        <f t="shared" si="392"/>
        <v>0</v>
      </c>
      <c r="T605" s="3">
        <f t="shared" si="393"/>
        <v>0</v>
      </c>
      <c r="U605" s="3">
        <f t="shared" si="394"/>
        <v>0</v>
      </c>
      <c r="V605" s="3">
        <f t="shared" si="395"/>
        <v>0</v>
      </c>
      <c r="W605">
        <f t="shared" si="396"/>
        <v>0</v>
      </c>
    </row>
    <row r="606" spans="1:23" ht="45" x14ac:dyDescent="0.15">
      <c r="A606" s="10" t="s">
        <v>2374</v>
      </c>
      <c r="B606" s="9" t="s">
        <v>286</v>
      </c>
      <c r="C606" s="8" t="s">
        <v>1447</v>
      </c>
      <c r="D606" s="5" t="s">
        <v>738</v>
      </c>
      <c r="E606" s="4" t="s">
        <v>1372</v>
      </c>
      <c r="F606" s="4" t="s">
        <v>509</v>
      </c>
      <c r="G606" s="7">
        <v>43098</v>
      </c>
      <c r="H606" s="6" t="s">
        <v>951</v>
      </c>
      <c r="I606" s="5" t="s">
        <v>1587</v>
      </c>
      <c r="J606" s="5"/>
      <c r="K606" s="7"/>
      <c r="L606" s="6"/>
      <c r="M606" s="5"/>
      <c r="N606" s="2" t="s">
        <v>1568</v>
      </c>
      <c r="Q606" s="3" t="b">
        <f t="shared" si="390"/>
        <v>0</v>
      </c>
      <c r="R606" s="3" t="b">
        <f t="shared" si="391"/>
        <v>0</v>
      </c>
      <c r="S606" s="3">
        <f t="shared" si="392"/>
        <v>0</v>
      </c>
      <c r="T606" s="3">
        <f t="shared" si="393"/>
        <v>0</v>
      </c>
      <c r="U606" s="3">
        <f t="shared" si="394"/>
        <v>0</v>
      </c>
      <c r="V606" s="3">
        <f t="shared" si="395"/>
        <v>0</v>
      </c>
      <c r="W606">
        <f t="shared" si="396"/>
        <v>0</v>
      </c>
    </row>
    <row r="607" spans="1:23" ht="45" x14ac:dyDescent="0.15">
      <c r="A607" s="10" t="s">
        <v>2416</v>
      </c>
      <c r="B607" s="9" t="s">
        <v>208</v>
      </c>
      <c r="C607" s="8" t="s">
        <v>1447</v>
      </c>
      <c r="D607" s="5" t="s">
        <v>738</v>
      </c>
      <c r="E607" s="4" t="s">
        <v>57</v>
      </c>
      <c r="F607" s="4" t="s">
        <v>510</v>
      </c>
      <c r="G607" s="7">
        <v>43098</v>
      </c>
      <c r="H607" s="6" t="s">
        <v>951</v>
      </c>
      <c r="I607" s="5" t="s">
        <v>1587</v>
      </c>
      <c r="J607" s="5"/>
      <c r="K607" s="7"/>
      <c r="L607" s="6"/>
      <c r="M607" s="5"/>
      <c r="N607" s="2" t="s">
        <v>1568</v>
      </c>
      <c r="Q607" s="3" t="b">
        <f t="shared" si="390"/>
        <v>0</v>
      </c>
      <c r="R607" s="3" t="b">
        <f t="shared" si="391"/>
        <v>0</v>
      </c>
      <c r="S607" s="3">
        <f t="shared" si="392"/>
        <v>0</v>
      </c>
      <c r="T607" s="3">
        <f t="shared" si="393"/>
        <v>0</v>
      </c>
      <c r="U607" s="3">
        <f t="shared" si="394"/>
        <v>0</v>
      </c>
      <c r="V607" s="3">
        <f t="shared" si="395"/>
        <v>0</v>
      </c>
      <c r="W607">
        <f t="shared" si="396"/>
        <v>0</v>
      </c>
    </row>
    <row r="608" spans="1:23" ht="45" x14ac:dyDescent="0.15">
      <c r="A608" s="10" t="s">
        <v>2252</v>
      </c>
      <c r="B608" s="9" t="s">
        <v>276</v>
      </c>
      <c r="C608" s="8" t="s">
        <v>1447</v>
      </c>
      <c r="D608" s="5" t="s">
        <v>738</v>
      </c>
      <c r="E608" s="4" t="s">
        <v>713</v>
      </c>
      <c r="F608" s="4" t="s">
        <v>372</v>
      </c>
      <c r="G608" s="7">
        <v>43098</v>
      </c>
      <c r="H608" s="6" t="s">
        <v>951</v>
      </c>
      <c r="I608" s="5" t="s">
        <v>1587</v>
      </c>
      <c r="J608" s="5"/>
      <c r="K608" s="7"/>
      <c r="L608" s="6"/>
      <c r="M608" s="5"/>
      <c r="N608" s="2" t="s">
        <v>1568</v>
      </c>
      <c r="Q608" s="3" t="b">
        <f t="shared" si="390"/>
        <v>0</v>
      </c>
      <c r="R608" s="3" t="b">
        <f t="shared" si="391"/>
        <v>0</v>
      </c>
      <c r="S608" s="3">
        <f t="shared" si="392"/>
        <v>0</v>
      </c>
      <c r="T608" s="3">
        <f t="shared" si="393"/>
        <v>0</v>
      </c>
      <c r="U608" s="3">
        <f t="shared" si="394"/>
        <v>0</v>
      </c>
      <c r="V608" s="3">
        <f t="shared" si="395"/>
        <v>0</v>
      </c>
      <c r="W608">
        <f t="shared" si="396"/>
        <v>0</v>
      </c>
    </row>
    <row r="609" spans="1:23" ht="45" x14ac:dyDescent="0.15">
      <c r="A609" s="10" t="s">
        <v>2422</v>
      </c>
      <c r="B609" s="9" t="s">
        <v>278</v>
      </c>
      <c r="C609" s="8" t="s">
        <v>1447</v>
      </c>
      <c r="D609" s="5" t="s">
        <v>738</v>
      </c>
      <c r="E609" s="4" t="s">
        <v>443</v>
      </c>
      <c r="F609" s="4" t="s">
        <v>510</v>
      </c>
      <c r="G609" s="7">
        <v>43098</v>
      </c>
      <c r="H609" s="6" t="s">
        <v>951</v>
      </c>
      <c r="I609" s="5" t="s">
        <v>1587</v>
      </c>
      <c r="J609" s="5"/>
      <c r="K609" s="7"/>
      <c r="L609" s="6"/>
      <c r="M609" s="5"/>
      <c r="N609" s="2" t="s">
        <v>1568</v>
      </c>
      <c r="Q609" s="3" t="b">
        <f t="shared" si="390"/>
        <v>0</v>
      </c>
      <c r="R609" s="3" t="b">
        <f t="shared" si="391"/>
        <v>0</v>
      </c>
      <c r="S609" s="3">
        <f t="shared" si="392"/>
        <v>0</v>
      </c>
      <c r="T609" s="3">
        <f t="shared" si="393"/>
        <v>0</v>
      </c>
      <c r="U609" s="3">
        <f t="shared" si="394"/>
        <v>0</v>
      </c>
      <c r="V609" s="3">
        <f t="shared" si="395"/>
        <v>0</v>
      </c>
      <c r="W609">
        <f t="shared" si="396"/>
        <v>0</v>
      </c>
    </row>
    <row r="610" spans="1:23" ht="45" x14ac:dyDescent="0.15">
      <c r="A610" s="10" t="s">
        <v>2555</v>
      </c>
      <c r="B610" s="9" t="s">
        <v>244</v>
      </c>
      <c r="C610" s="8" t="s">
        <v>1447</v>
      </c>
      <c r="D610" s="5" t="s">
        <v>738</v>
      </c>
      <c r="E610" s="4" t="s">
        <v>1383</v>
      </c>
      <c r="F610" s="4" t="s">
        <v>508</v>
      </c>
      <c r="G610" s="7">
        <v>43098</v>
      </c>
      <c r="H610" s="6" t="s">
        <v>951</v>
      </c>
      <c r="I610" s="5" t="s">
        <v>1587</v>
      </c>
      <c r="J610" s="5"/>
      <c r="K610" s="7"/>
      <c r="L610" s="6"/>
      <c r="M610" s="5"/>
      <c r="N610" s="2" t="s">
        <v>1568</v>
      </c>
      <c r="Q610" s="3" t="b">
        <f t="shared" si="390"/>
        <v>0</v>
      </c>
      <c r="R610" s="3" t="b">
        <f t="shared" si="391"/>
        <v>0</v>
      </c>
      <c r="S610" s="3">
        <f t="shared" si="392"/>
        <v>0</v>
      </c>
      <c r="T610" s="3">
        <f t="shared" si="393"/>
        <v>0</v>
      </c>
      <c r="U610" s="3">
        <f t="shared" si="394"/>
        <v>0</v>
      </c>
      <c r="V610" s="3">
        <f t="shared" si="395"/>
        <v>0</v>
      </c>
      <c r="W610">
        <f t="shared" si="396"/>
        <v>0</v>
      </c>
    </row>
    <row r="611" spans="1:23" ht="25.5" x14ac:dyDescent="0.15">
      <c r="A611" s="10" t="s">
        <v>2238</v>
      </c>
      <c r="B611" s="9" t="s">
        <v>223</v>
      </c>
      <c r="C611" s="8" t="s">
        <v>1447</v>
      </c>
      <c r="D611" s="5"/>
      <c r="E611" s="4"/>
      <c r="F611" s="4"/>
      <c r="G611" s="7">
        <v>43100</v>
      </c>
      <c r="H611" s="6" t="s">
        <v>951</v>
      </c>
      <c r="I611" s="5" t="s">
        <v>1587</v>
      </c>
      <c r="J611" s="5"/>
      <c r="K611" s="7"/>
      <c r="L611" s="6"/>
      <c r="M611" s="5"/>
      <c r="N611" s="2" t="s">
        <v>1568</v>
      </c>
      <c r="Q611" s="3" t="b">
        <f t="shared" si="390"/>
        <v>0</v>
      </c>
      <c r="R611" s="3" t="b">
        <f t="shared" si="391"/>
        <v>0</v>
      </c>
      <c r="S611" s="3" t="b">
        <f t="shared" si="392"/>
        <v>0</v>
      </c>
      <c r="T611" s="3">
        <f t="shared" si="393"/>
        <v>0</v>
      </c>
      <c r="U611" s="3">
        <f t="shared" si="394"/>
        <v>0</v>
      </c>
      <c r="V611" s="3">
        <f t="shared" si="395"/>
        <v>0</v>
      </c>
      <c r="W611">
        <f t="shared" si="396"/>
        <v>0</v>
      </c>
    </row>
    <row r="612" spans="1:23" ht="25.5" x14ac:dyDescent="0.15">
      <c r="A612" s="10" t="s">
        <v>1768</v>
      </c>
      <c r="B612" s="9" t="s">
        <v>257</v>
      </c>
      <c r="C612" s="8" t="s">
        <v>1447</v>
      </c>
      <c r="D612" s="5"/>
      <c r="E612" s="4"/>
      <c r="F612" s="4"/>
      <c r="G612" s="7">
        <v>43100</v>
      </c>
      <c r="H612" s="6" t="s">
        <v>951</v>
      </c>
      <c r="I612" s="5" t="s">
        <v>1587</v>
      </c>
      <c r="J612" s="5"/>
      <c r="K612" s="7"/>
      <c r="L612" s="6"/>
      <c r="M612" s="5"/>
      <c r="N612" s="2" t="s">
        <v>1568</v>
      </c>
      <c r="Q612" s="3" t="b">
        <f t="shared" si="390"/>
        <v>0</v>
      </c>
      <c r="R612" s="3" t="b">
        <f t="shared" si="391"/>
        <v>0</v>
      </c>
      <c r="S612" s="3" t="b">
        <f t="shared" si="392"/>
        <v>0</v>
      </c>
      <c r="T612" s="3">
        <f t="shared" si="393"/>
        <v>0</v>
      </c>
      <c r="U612" s="3">
        <f t="shared" si="394"/>
        <v>0</v>
      </c>
      <c r="V612" s="3">
        <f t="shared" si="395"/>
        <v>0</v>
      </c>
      <c r="W612">
        <f t="shared" si="396"/>
        <v>0</v>
      </c>
    </row>
    <row r="613" spans="1:23" ht="25.5" x14ac:dyDescent="0.15">
      <c r="A613" s="10" t="s">
        <v>2024</v>
      </c>
      <c r="B613" s="9" t="s">
        <v>329</v>
      </c>
      <c r="C613" s="8" t="s">
        <v>1447</v>
      </c>
      <c r="D613" s="5"/>
      <c r="E613" s="4"/>
      <c r="F613" s="4"/>
      <c r="G613" s="7">
        <v>43100</v>
      </c>
      <c r="H613" s="6" t="s">
        <v>951</v>
      </c>
      <c r="I613" s="5" t="s">
        <v>1587</v>
      </c>
      <c r="J613" s="5"/>
      <c r="K613" s="7"/>
      <c r="L613" s="6"/>
      <c r="M613" s="5"/>
      <c r="N613" s="2" t="s">
        <v>1568</v>
      </c>
      <c r="Q613" s="3" t="b">
        <f t="shared" si="390"/>
        <v>0</v>
      </c>
      <c r="R613" s="3" t="b">
        <f t="shared" si="391"/>
        <v>0</v>
      </c>
      <c r="S613" s="3" t="b">
        <f t="shared" si="392"/>
        <v>0</v>
      </c>
      <c r="T613" s="3">
        <f t="shared" si="393"/>
        <v>0</v>
      </c>
      <c r="U613" s="3">
        <f t="shared" si="394"/>
        <v>0</v>
      </c>
      <c r="V613" s="3">
        <f t="shared" si="395"/>
        <v>0</v>
      </c>
      <c r="W613">
        <f t="shared" si="396"/>
        <v>0</v>
      </c>
    </row>
    <row r="614" spans="1:23" ht="25.5" x14ac:dyDescent="0.15">
      <c r="A614" s="10" t="s">
        <v>2341</v>
      </c>
      <c r="B614" s="9" t="s">
        <v>229</v>
      </c>
      <c r="C614" s="8" t="s">
        <v>1447</v>
      </c>
      <c r="D614" s="5"/>
      <c r="E614" s="4"/>
      <c r="F614" s="4"/>
      <c r="G614" s="7">
        <v>43100</v>
      </c>
      <c r="H614" s="6" t="s">
        <v>951</v>
      </c>
      <c r="I614" s="5" t="s">
        <v>1587</v>
      </c>
      <c r="J614" s="5"/>
      <c r="K614" s="7"/>
      <c r="L614" s="6"/>
      <c r="M614" s="5"/>
      <c r="N614" s="2" t="s">
        <v>1568</v>
      </c>
      <c r="Q614" s="3" t="b">
        <f t="shared" si="390"/>
        <v>0</v>
      </c>
      <c r="R614" s="3" t="b">
        <f t="shared" si="391"/>
        <v>0</v>
      </c>
      <c r="S614" s="3" t="b">
        <f t="shared" si="392"/>
        <v>0</v>
      </c>
      <c r="T614" s="3">
        <f t="shared" si="393"/>
        <v>0</v>
      </c>
      <c r="U614" s="3">
        <f t="shared" si="394"/>
        <v>0</v>
      </c>
      <c r="V614" s="3">
        <f t="shared" si="395"/>
        <v>0</v>
      </c>
      <c r="W614">
        <f t="shared" si="396"/>
        <v>0</v>
      </c>
    </row>
    <row r="615" spans="1:23" ht="45" x14ac:dyDescent="0.15">
      <c r="A615" s="10" t="s">
        <v>2464</v>
      </c>
      <c r="B615" s="9" t="s">
        <v>235</v>
      </c>
      <c r="C615" s="8" t="s">
        <v>1447</v>
      </c>
      <c r="D615" s="5" t="s">
        <v>738</v>
      </c>
      <c r="E615" s="4" t="s">
        <v>63</v>
      </c>
      <c r="F615" s="4" t="s">
        <v>520</v>
      </c>
      <c r="G615" s="7">
        <v>43098</v>
      </c>
      <c r="H615" s="6" t="s">
        <v>951</v>
      </c>
      <c r="I615" s="5" t="s">
        <v>1579</v>
      </c>
      <c r="J615" s="5"/>
      <c r="K615" s="7"/>
      <c r="L615" s="6"/>
      <c r="M615" s="5"/>
      <c r="N615" s="2" t="s">
        <v>1568</v>
      </c>
      <c r="Q615" s="3" t="b">
        <f t="shared" si="390"/>
        <v>0</v>
      </c>
      <c r="R615" s="3" t="b">
        <f t="shared" si="391"/>
        <v>0</v>
      </c>
      <c r="S615" s="3">
        <f t="shared" si="392"/>
        <v>0</v>
      </c>
      <c r="T615" s="3">
        <f t="shared" si="393"/>
        <v>0</v>
      </c>
      <c r="U615" s="3">
        <f t="shared" si="394"/>
        <v>0</v>
      </c>
      <c r="V615" s="3">
        <f t="shared" si="395"/>
        <v>0</v>
      </c>
      <c r="W615">
        <f t="shared" si="396"/>
        <v>0</v>
      </c>
    </row>
    <row r="616" spans="1:23" ht="45" x14ac:dyDescent="0.15">
      <c r="A616" s="10" t="s">
        <v>2401</v>
      </c>
      <c r="B616" s="9" t="s">
        <v>181</v>
      </c>
      <c r="C616" s="8" t="s">
        <v>1447</v>
      </c>
      <c r="D616" s="5" t="s">
        <v>738</v>
      </c>
      <c r="E616" s="4" t="s">
        <v>715</v>
      </c>
      <c r="F616" s="4" t="s">
        <v>375</v>
      </c>
      <c r="G616" s="7">
        <v>43098</v>
      </c>
      <c r="H616" s="6" t="s">
        <v>951</v>
      </c>
      <c r="I616" s="5" t="s">
        <v>1579</v>
      </c>
      <c r="J616" s="5"/>
      <c r="K616" s="7"/>
      <c r="L616" s="6"/>
      <c r="M616" s="5"/>
      <c r="N616" s="2" t="s">
        <v>1568</v>
      </c>
      <c r="Q616" s="3" t="b">
        <f t="shared" si="390"/>
        <v>0</v>
      </c>
      <c r="R616" s="3" t="b">
        <f t="shared" si="391"/>
        <v>0</v>
      </c>
      <c r="S616" s="3">
        <f t="shared" si="392"/>
        <v>0</v>
      </c>
      <c r="T616" s="3">
        <f t="shared" si="393"/>
        <v>0</v>
      </c>
      <c r="U616" s="3">
        <f t="shared" si="394"/>
        <v>0</v>
      </c>
      <c r="V616" s="3">
        <f t="shared" si="395"/>
        <v>0</v>
      </c>
      <c r="W616">
        <f t="shared" si="396"/>
        <v>0</v>
      </c>
    </row>
    <row r="617" spans="1:23" ht="45" x14ac:dyDescent="0.15">
      <c r="A617" s="10" t="s">
        <v>2462</v>
      </c>
      <c r="B617" s="9" t="s">
        <v>203</v>
      </c>
      <c r="C617" s="8" t="s">
        <v>1447</v>
      </c>
      <c r="D617" s="5" t="s">
        <v>738</v>
      </c>
      <c r="E617" s="4" t="s">
        <v>442</v>
      </c>
      <c r="F617" s="4" t="s">
        <v>520</v>
      </c>
      <c r="G617" s="7">
        <v>43098</v>
      </c>
      <c r="H617" s="6" t="s">
        <v>951</v>
      </c>
      <c r="I617" s="5" t="s">
        <v>1579</v>
      </c>
      <c r="J617" s="5"/>
      <c r="K617" s="7"/>
      <c r="L617" s="6"/>
      <c r="M617" s="5"/>
      <c r="N617" s="2" t="s">
        <v>1568</v>
      </c>
      <c r="Q617" s="3" t="b">
        <f t="shared" si="390"/>
        <v>0</v>
      </c>
      <c r="R617" s="3" t="b">
        <f t="shared" si="391"/>
        <v>0</v>
      </c>
      <c r="S617" s="3">
        <f t="shared" si="392"/>
        <v>0</v>
      </c>
      <c r="T617" s="3">
        <f t="shared" si="393"/>
        <v>0</v>
      </c>
      <c r="U617" s="3">
        <f t="shared" si="394"/>
        <v>0</v>
      </c>
      <c r="V617" s="3">
        <f t="shared" si="395"/>
        <v>0</v>
      </c>
      <c r="W617">
        <f t="shared" si="396"/>
        <v>0</v>
      </c>
    </row>
    <row r="618" spans="1:23" ht="45" x14ac:dyDescent="0.15">
      <c r="A618" s="10" t="s">
        <v>2249</v>
      </c>
      <c r="B618" s="9" t="s">
        <v>172</v>
      </c>
      <c r="C618" s="8" t="s">
        <v>1447</v>
      </c>
      <c r="D618" s="5" t="s">
        <v>738</v>
      </c>
      <c r="E618" s="4" t="s">
        <v>1389</v>
      </c>
      <c r="F618" s="4" t="s">
        <v>511</v>
      </c>
      <c r="G618" s="7">
        <v>43098</v>
      </c>
      <c r="H618" s="6" t="s">
        <v>951</v>
      </c>
      <c r="I618" s="5" t="s">
        <v>1579</v>
      </c>
      <c r="J618" s="5"/>
      <c r="K618" s="7"/>
      <c r="L618" s="6"/>
      <c r="M618" s="5"/>
      <c r="N618" s="2" t="s">
        <v>1568</v>
      </c>
      <c r="Q618" s="3" t="b">
        <f t="shared" si="390"/>
        <v>0</v>
      </c>
      <c r="R618" s="3" t="b">
        <f t="shared" si="391"/>
        <v>0</v>
      </c>
      <c r="S618" s="3">
        <f t="shared" si="392"/>
        <v>0</v>
      </c>
      <c r="T618" s="3">
        <f t="shared" si="393"/>
        <v>0</v>
      </c>
      <c r="U618" s="3">
        <f t="shared" si="394"/>
        <v>0</v>
      </c>
      <c r="V618" s="3">
        <f t="shared" si="395"/>
        <v>0</v>
      </c>
      <c r="W618">
        <f t="shared" si="396"/>
        <v>0</v>
      </c>
    </row>
    <row r="619" spans="1:23" ht="45" x14ac:dyDescent="0.15">
      <c r="A619" s="10" t="s">
        <v>2579</v>
      </c>
      <c r="B619" s="9" t="s">
        <v>265</v>
      </c>
      <c r="C619" s="8" t="s">
        <v>1447</v>
      </c>
      <c r="D619" s="5" t="s">
        <v>1192</v>
      </c>
      <c r="E619" s="4" t="s">
        <v>56</v>
      </c>
      <c r="F619" s="4" t="s">
        <v>504</v>
      </c>
      <c r="G619" s="7">
        <v>43098</v>
      </c>
      <c r="H619" s="6" t="s">
        <v>951</v>
      </c>
      <c r="I619" s="5" t="s">
        <v>1579</v>
      </c>
      <c r="J619" s="5"/>
      <c r="K619" s="7"/>
      <c r="L619" s="6"/>
      <c r="M619" s="5"/>
      <c r="N619" s="2" t="s">
        <v>1568</v>
      </c>
      <c r="Q619" s="3" t="b">
        <f t="shared" si="390"/>
        <v>0</v>
      </c>
      <c r="R619" s="3" t="b">
        <f t="shared" si="391"/>
        <v>0</v>
      </c>
      <c r="S619" s="3">
        <f t="shared" si="392"/>
        <v>0</v>
      </c>
      <c r="T619" s="3">
        <f t="shared" si="393"/>
        <v>0</v>
      </c>
      <c r="U619" s="3">
        <f t="shared" si="394"/>
        <v>0</v>
      </c>
      <c r="V619" s="3">
        <f t="shared" si="395"/>
        <v>0</v>
      </c>
      <c r="W619">
        <f t="shared" si="396"/>
        <v>0</v>
      </c>
    </row>
    <row r="620" spans="1:23" ht="45" x14ac:dyDescent="0.15">
      <c r="A620" s="10" t="s">
        <v>1832</v>
      </c>
      <c r="B620" s="9" t="s">
        <v>157</v>
      </c>
      <c r="C620" s="8" t="s">
        <v>1447</v>
      </c>
      <c r="D620" s="5" t="s">
        <v>1192</v>
      </c>
      <c r="E620" s="4" t="s">
        <v>724</v>
      </c>
      <c r="F620" s="4" t="s">
        <v>374</v>
      </c>
      <c r="G620" s="7">
        <v>43098</v>
      </c>
      <c r="H620" s="6" t="s">
        <v>951</v>
      </c>
      <c r="I620" s="5" t="s">
        <v>1579</v>
      </c>
      <c r="J620" s="5"/>
      <c r="K620" s="7"/>
      <c r="L620" s="6"/>
      <c r="M620" s="5"/>
      <c r="N620" s="2" t="s">
        <v>1568</v>
      </c>
      <c r="Q620" s="3" t="b">
        <f t="shared" si="390"/>
        <v>0</v>
      </c>
      <c r="R620" s="3" t="b">
        <f t="shared" si="391"/>
        <v>0</v>
      </c>
      <c r="S620" s="3">
        <f t="shared" si="392"/>
        <v>0</v>
      </c>
      <c r="T620" s="3">
        <f t="shared" si="393"/>
        <v>0</v>
      </c>
      <c r="U620" s="3">
        <f t="shared" si="394"/>
        <v>0</v>
      </c>
      <c r="V620" s="3">
        <f t="shared" si="395"/>
        <v>0</v>
      </c>
      <c r="W620">
        <f t="shared" si="396"/>
        <v>0</v>
      </c>
    </row>
    <row r="621" spans="1:23" ht="45" x14ac:dyDescent="0.15">
      <c r="A621" s="10" t="s">
        <v>1923</v>
      </c>
      <c r="B621" s="9" t="s">
        <v>254</v>
      </c>
      <c r="C621" s="8" t="s">
        <v>1447</v>
      </c>
      <c r="D621" s="5" t="s">
        <v>1192</v>
      </c>
      <c r="E621" s="4" t="s">
        <v>446</v>
      </c>
      <c r="F621" s="4" t="s">
        <v>504</v>
      </c>
      <c r="G621" s="7">
        <v>43098</v>
      </c>
      <c r="H621" s="6" t="s">
        <v>951</v>
      </c>
      <c r="I621" s="5" t="s">
        <v>1579</v>
      </c>
      <c r="J621" s="5"/>
      <c r="K621" s="7"/>
      <c r="L621" s="6"/>
      <c r="M621" s="5"/>
      <c r="N621" s="2" t="s">
        <v>1568</v>
      </c>
      <c r="Q621" s="3" t="b">
        <f t="shared" si="390"/>
        <v>0</v>
      </c>
      <c r="R621" s="3" t="b">
        <f t="shared" si="391"/>
        <v>0</v>
      </c>
      <c r="S621" s="3">
        <f t="shared" si="392"/>
        <v>0</v>
      </c>
      <c r="T621" s="3">
        <f t="shared" si="393"/>
        <v>0</v>
      </c>
      <c r="U621" s="3">
        <f t="shared" si="394"/>
        <v>0</v>
      </c>
      <c r="V621" s="3">
        <f t="shared" si="395"/>
        <v>0</v>
      </c>
      <c r="W621">
        <f t="shared" si="396"/>
        <v>0</v>
      </c>
    </row>
    <row r="622" spans="1:23" ht="45" x14ac:dyDescent="0.15">
      <c r="A622" s="10" t="s">
        <v>2515</v>
      </c>
      <c r="B622" s="9" t="s">
        <v>328</v>
      </c>
      <c r="C622" s="8" t="s">
        <v>1447</v>
      </c>
      <c r="D622" s="5" t="s">
        <v>1192</v>
      </c>
      <c r="E622" s="4" t="s">
        <v>1392</v>
      </c>
      <c r="F622" s="4" t="s">
        <v>493</v>
      </c>
      <c r="G622" s="7">
        <v>43098</v>
      </c>
      <c r="H622" s="6" t="s">
        <v>951</v>
      </c>
      <c r="I622" s="5" t="s">
        <v>1579</v>
      </c>
      <c r="J622" s="5"/>
      <c r="K622" s="7"/>
      <c r="L622" s="6"/>
      <c r="M622" s="5"/>
      <c r="N622" s="2" t="s">
        <v>1568</v>
      </c>
      <c r="Q622" s="3" t="b">
        <f t="shared" si="390"/>
        <v>0</v>
      </c>
      <c r="R622" s="3" t="b">
        <f t="shared" si="391"/>
        <v>0</v>
      </c>
      <c r="S622" s="3">
        <f t="shared" si="392"/>
        <v>0</v>
      </c>
      <c r="T622" s="3">
        <f t="shared" si="393"/>
        <v>0</v>
      </c>
      <c r="U622" s="3">
        <f t="shared" si="394"/>
        <v>0</v>
      </c>
      <c r="V622" s="3">
        <f t="shared" si="395"/>
        <v>0</v>
      </c>
      <c r="W622">
        <f t="shared" si="396"/>
        <v>0</v>
      </c>
    </row>
    <row r="623" spans="1:23" ht="45" x14ac:dyDescent="0.15">
      <c r="A623" s="10" t="s">
        <v>2289</v>
      </c>
      <c r="B623" s="9" t="s">
        <v>2668</v>
      </c>
      <c r="C623" s="8" t="s">
        <v>1447</v>
      </c>
      <c r="D623" s="5" t="s">
        <v>1115</v>
      </c>
      <c r="E623" s="4" t="s">
        <v>3</v>
      </c>
      <c r="F623" s="4" t="s">
        <v>393</v>
      </c>
      <c r="G623" s="7">
        <v>43091</v>
      </c>
      <c r="H623" s="6" t="s">
        <v>951</v>
      </c>
      <c r="I623" s="5" t="s">
        <v>1579</v>
      </c>
      <c r="J623" s="5"/>
      <c r="K623" s="7"/>
      <c r="L623" s="6"/>
      <c r="M623" s="5"/>
      <c r="Q623" s="3" t="b">
        <f t="shared" si="390"/>
        <v>0</v>
      </c>
      <c r="R623" s="3">
        <f t="shared" si="391"/>
        <v>0</v>
      </c>
      <c r="S623" s="3">
        <f t="shared" si="392"/>
        <v>0</v>
      </c>
      <c r="T623" s="3">
        <f t="shared" si="393"/>
        <v>0</v>
      </c>
      <c r="U623" s="3">
        <f t="shared" si="394"/>
        <v>0</v>
      </c>
      <c r="V623" s="3">
        <f t="shared" si="395"/>
        <v>0</v>
      </c>
      <c r="W623">
        <f t="shared" si="396"/>
        <v>0</v>
      </c>
    </row>
    <row r="624" spans="1:23" ht="45" x14ac:dyDescent="0.15">
      <c r="A624" s="10" t="s">
        <v>2212</v>
      </c>
      <c r="B624" s="9" t="s">
        <v>2649</v>
      </c>
      <c r="C624" s="8" t="s">
        <v>1447</v>
      </c>
      <c r="D624" s="5" t="s">
        <v>1115</v>
      </c>
      <c r="E624" s="4" t="s">
        <v>458</v>
      </c>
      <c r="F624" s="4" t="s">
        <v>465</v>
      </c>
      <c r="G624" s="7">
        <v>43091</v>
      </c>
      <c r="H624" s="6" t="s">
        <v>951</v>
      </c>
      <c r="I624" s="5" t="s">
        <v>1579</v>
      </c>
      <c r="J624" s="5"/>
      <c r="K624" s="7"/>
      <c r="L624" s="6"/>
      <c r="M624" s="5"/>
      <c r="Q624" s="3" t="b">
        <f t="shared" si="390"/>
        <v>0</v>
      </c>
      <c r="R624" s="3">
        <f t="shared" si="391"/>
        <v>0</v>
      </c>
      <c r="S624" s="3">
        <f t="shared" si="392"/>
        <v>0</v>
      </c>
      <c r="T624" s="3">
        <f t="shared" si="393"/>
        <v>0</v>
      </c>
      <c r="U624" s="3">
        <f t="shared" si="394"/>
        <v>0</v>
      </c>
      <c r="V624" s="3">
        <f t="shared" si="395"/>
        <v>0</v>
      </c>
      <c r="W624">
        <f t="shared" si="396"/>
        <v>0</v>
      </c>
    </row>
    <row r="625" spans="1:23" ht="45" x14ac:dyDescent="0.15">
      <c r="A625" s="10" t="s">
        <v>2273</v>
      </c>
      <c r="B625" s="9" t="s">
        <v>2677</v>
      </c>
      <c r="C625" s="8" t="s">
        <v>1447</v>
      </c>
      <c r="D625" s="5" t="s">
        <v>1115</v>
      </c>
      <c r="E625" s="4" t="s">
        <v>777</v>
      </c>
      <c r="F625" s="4" t="s">
        <v>393</v>
      </c>
      <c r="G625" s="7">
        <v>43091</v>
      </c>
      <c r="H625" s="6" t="s">
        <v>951</v>
      </c>
      <c r="I625" s="5" t="s">
        <v>1579</v>
      </c>
      <c r="J625" s="5"/>
      <c r="K625" s="7"/>
      <c r="L625" s="6"/>
      <c r="M625" s="5"/>
      <c r="Q625" s="3" t="b">
        <f t="shared" si="390"/>
        <v>0</v>
      </c>
      <c r="R625" s="3">
        <f t="shared" si="391"/>
        <v>0</v>
      </c>
      <c r="S625" s="3">
        <f t="shared" si="392"/>
        <v>0</v>
      </c>
      <c r="T625" s="3">
        <f t="shared" si="393"/>
        <v>0</v>
      </c>
      <c r="U625" s="3">
        <f t="shared" si="394"/>
        <v>0</v>
      </c>
      <c r="V625" s="3">
        <f t="shared" si="395"/>
        <v>0</v>
      </c>
      <c r="W625">
        <f t="shared" si="396"/>
        <v>0</v>
      </c>
    </row>
    <row r="626" spans="1:23" ht="45" x14ac:dyDescent="0.15">
      <c r="A626" s="10" t="s">
        <v>2262</v>
      </c>
      <c r="B626" s="9" t="s">
        <v>2676</v>
      </c>
      <c r="C626" s="8" t="s">
        <v>1447</v>
      </c>
      <c r="D626" s="5" t="s">
        <v>1115</v>
      </c>
      <c r="E626" s="4" t="s">
        <v>1376</v>
      </c>
      <c r="F626" s="4" t="s">
        <v>379</v>
      </c>
      <c r="G626" s="7">
        <v>43091</v>
      </c>
      <c r="H626" s="6" t="s">
        <v>951</v>
      </c>
      <c r="I626" s="5" t="s">
        <v>1579</v>
      </c>
      <c r="J626" s="5"/>
      <c r="K626" s="7"/>
      <c r="L626" s="6"/>
      <c r="M626" s="5"/>
      <c r="Q626" s="3" t="b">
        <f t="shared" si="390"/>
        <v>0</v>
      </c>
      <c r="R626" s="3">
        <f t="shared" si="391"/>
        <v>0</v>
      </c>
      <c r="S626" s="3">
        <f t="shared" si="392"/>
        <v>0</v>
      </c>
      <c r="T626" s="3">
        <f t="shared" si="393"/>
        <v>0</v>
      </c>
      <c r="U626" s="3">
        <f t="shared" si="394"/>
        <v>0</v>
      </c>
      <c r="V626" s="3">
        <f t="shared" si="395"/>
        <v>0</v>
      </c>
      <c r="W626">
        <f t="shared" si="396"/>
        <v>0</v>
      </c>
    </row>
    <row r="627" spans="1:23" x14ac:dyDescent="0.15">
      <c r="A627" s="16" t="s">
        <v>935</v>
      </c>
      <c r="B627" s="129" t="s">
        <v>670</v>
      </c>
      <c r="C627" s="130"/>
      <c r="D627" s="15" t="s">
        <v>1011</v>
      </c>
      <c r="E627" s="14" t="s">
        <v>1464</v>
      </c>
      <c r="F627" s="13" t="s">
        <v>2495</v>
      </c>
      <c r="G627" s="131" t="s">
        <v>585</v>
      </c>
      <c r="H627" s="132"/>
      <c r="I627" s="132"/>
      <c r="J627" s="132"/>
      <c r="K627" s="132"/>
      <c r="L627" s="132"/>
      <c r="M627" s="133"/>
    </row>
    <row r="628" spans="1:23" x14ac:dyDescent="0.15">
      <c r="A628" s="134" t="s">
        <v>977</v>
      </c>
      <c r="B628" s="136" t="s">
        <v>920</v>
      </c>
      <c r="C628" s="138" t="s">
        <v>1008</v>
      </c>
      <c r="D628" s="140" t="s">
        <v>1009</v>
      </c>
      <c r="E628" s="142" t="s">
        <v>2118</v>
      </c>
      <c r="F628" s="142" t="s">
        <v>1849</v>
      </c>
      <c r="G628" s="144" t="s">
        <v>994</v>
      </c>
      <c r="H628" s="145"/>
      <c r="I628" s="145"/>
      <c r="J628" s="146"/>
      <c r="K628" s="144" t="s">
        <v>982</v>
      </c>
      <c r="L628" s="145"/>
      <c r="M628" s="147"/>
    </row>
    <row r="629" spans="1:23" x14ac:dyDescent="0.15">
      <c r="A629" s="135"/>
      <c r="B629" s="137"/>
      <c r="C629" s="139"/>
      <c r="D629" s="141"/>
      <c r="E629" s="143"/>
      <c r="F629" s="143"/>
      <c r="G629" s="12" t="s">
        <v>1588</v>
      </c>
      <c r="H629" s="12" t="s">
        <v>1578</v>
      </c>
      <c r="I629" s="12" t="s">
        <v>1562</v>
      </c>
      <c r="J629" s="12" t="s">
        <v>1007</v>
      </c>
      <c r="K629" s="12" t="s">
        <v>1588</v>
      </c>
      <c r="L629" s="12" t="s">
        <v>1578</v>
      </c>
      <c r="M629" s="11" t="s">
        <v>1562</v>
      </c>
    </row>
    <row r="630" spans="1:23" ht="45" x14ac:dyDescent="0.15">
      <c r="A630" s="10" t="s">
        <v>2384</v>
      </c>
      <c r="B630" s="9" t="s">
        <v>629</v>
      </c>
      <c r="C630" s="8" t="s">
        <v>1003</v>
      </c>
      <c r="D630" s="5" t="s">
        <v>1641</v>
      </c>
      <c r="E630" s="4" t="s">
        <v>1380</v>
      </c>
      <c r="F630" s="4" t="s">
        <v>461</v>
      </c>
      <c r="G630" s="7">
        <v>43059</v>
      </c>
      <c r="H630" s="6" t="s">
        <v>951</v>
      </c>
      <c r="I630" s="5" t="s">
        <v>1573</v>
      </c>
      <c r="J630" s="5"/>
      <c r="K630" s="7"/>
      <c r="L630" s="6"/>
      <c r="M630" s="5"/>
      <c r="N630" s="32"/>
      <c r="Q630" s="3">
        <f t="shared" ref="Q630:Q633" si="397">IF($Q$6&gt;=G630,0)</f>
        <v>0</v>
      </c>
      <c r="R630" s="3">
        <f t="shared" ref="R630:R633" si="398">IF($R$6&gt;=G630,0)</f>
        <v>0</v>
      </c>
      <c r="S630" s="3">
        <f t="shared" ref="S630:S633" si="399">IF($S$6&gt;=G630,0)</f>
        <v>0</v>
      </c>
      <c r="T630" s="3">
        <f t="shared" ref="T630:T633" si="400">IF($T$6&gt;=G630,0)</f>
        <v>0</v>
      </c>
      <c r="U630" s="3">
        <f t="shared" ref="U630:U633" si="401">IF($U$6&gt;=G630,0)</f>
        <v>0</v>
      </c>
      <c r="V630" s="3">
        <f t="shared" ref="V630:V633" si="402">IF($V$6&gt;=G630,0)</f>
        <v>0</v>
      </c>
      <c r="W630">
        <f t="shared" ref="W630:W633" si="403">IF($W$6&gt;=G630,0)</f>
        <v>0</v>
      </c>
    </row>
    <row r="631" spans="1:23" ht="45" x14ac:dyDescent="0.15">
      <c r="A631" s="10" t="s">
        <v>2051</v>
      </c>
      <c r="B631" s="9" t="s">
        <v>2358</v>
      </c>
      <c r="C631" s="8" t="s">
        <v>1003</v>
      </c>
      <c r="D631" s="5" t="s">
        <v>1641</v>
      </c>
      <c r="E631" s="4" t="s">
        <v>706</v>
      </c>
      <c r="F631" s="4" t="s">
        <v>27</v>
      </c>
      <c r="G631" s="7">
        <v>43059</v>
      </c>
      <c r="H631" s="6" t="s">
        <v>951</v>
      </c>
      <c r="I631" s="5" t="s">
        <v>1573</v>
      </c>
      <c r="J631" s="5"/>
      <c r="K631" s="7"/>
      <c r="L631" s="6"/>
      <c r="M631" s="5"/>
      <c r="Q631" s="3">
        <f t="shared" si="397"/>
        <v>0</v>
      </c>
      <c r="R631" s="3">
        <f t="shared" si="398"/>
        <v>0</v>
      </c>
      <c r="S631" s="3">
        <f t="shared" si="399"/>
        <v>0</v>
      </c>
      <c r="T631" s="3">
        <f t="shared" si="400"/>
        <v>0</v>
      </c>
      <c r="U631" s="3">
        <f t="shared" si="401"/>
        <v>0</v>
      </c>
      <c r="V631" s="3">
        <f t="shared" si="402"/>
        <v>0</v>
      </c>
      <c r="W631">
        <f t="shared" si="403"/>
        <v>0</v>
      </c>
    </row>
    <row r="632" spans="1:23" ht="45" x14ac:dyDescent="0.15">
      <c r="A632" s="10" t="s">
        <v>2079</v>
      </c>
      <c r="B632" s="9" t="s">
        <v>2189</v>
      </c>
      <c r="C632" s="8" t="s">
        <v>1003</v>
      </c>
      <c r="D632" s="5" t="s">
        <v>1641</v>
      </c>
      <c r="E632" s="4" t="s">
        <v>89</v>
      </c>
      <c r="F632" s="4" t="s">
        <v>29</v>
      </c>
      <c r="G632" s="7">
        <v>43059</v>
      </c>
      <c r="H632" s="6" t="s">
        <v>951</v>
      </c>
      <c r="I632" s="5" t="s">
        <v>1573</v>
      </c>
      <c r="J632" s="5"/>
      <c r="K632" s="7"/>
      <c r="L632" s="6"/>
      <c r="M632" s="5"/>
      <c r="Q632" s="3">
        <f t="shared" si="397"/>
        <v>0</v>
      </c>
      <c r="R632" s="3">
        <f t="shared" si="398"/>
        <v>0</v>
      </c>
      <c r="S632" s="3">
        <f t="shared" si="399"/>
        <v>0</v>
      </c>
      <c r="T632" s="3">
        <f t="shared" si="400"/>
        <v>0</v>
      </c>
      <c r="U632" s="3">
        <f t="shared" si="401"/>
        <v>0</v>
      </c>
      <c r="V632" s="3">
        <f t="shared" si="402"/>
        <v>0</v>
      </c>
      <c r="W632">
        <f t="shared" si="403"/>
        <v>0</v>
      </c>
    </row>
    <row r="633" spans="1:23" ht="45" x14ac:dyDescent="0.15">
      <c r="A633" s="10" t="s">
        <v>2439</v>
      </c>
      <c r="B633" s="9" t="s">
        <v>2298</v>
      </c>
      <c r="C633" s="8" t="s">
        <v>1447</v>
      </c>
      <c r="D633" s="5" t="s">
        <v>1641</v>
      </c>
      <c r="E633" s="4" t="s">
        <v>355</v>
      </c>
      <c r="F633" s="4" t="s">
        <v>1343</v>
      </c>
      <c r="G633" s="7">
        <v>43059</v>
      </c>
      <c r="H633" s="6" t="s">
        <v>951</v>
      </c>
      <c r="I633" s="5" t="s">
        <v>1573</v>
      </c>
      <c r="J633" s="5"/>
      <c r="K633" s="7"/>
      <c r="L633" s="6"/>
      <c r="M633" s="5"/>
      <c r="Q633" s="3">
        <f t="shared" si="397"/>
        <v>0</v>
      </c>
      <c r="R633" s="3">
        <f t="shared" si="398"/>
        <v>0</v>
      </c>
      <c r="S633" s="3">
        <f t="shared" si="399"/>
        <v>0</v>
      </c>
      <c r="T633" s="3">
        <f t="shared" si="400"/>
        <v>0</v>
      </c>
      <c r="U633" s="3">
        <f t="shared" si="401"/>
        <v>0</v>
      </c>
      <c r="V633" s="3">
        <f t="shared" si="402"/>
        <v>0</v>
      </c>
      <c r="W633">
        <f t="shared" si="403"/>
        <v>0</v>
      </c>
    </row>
    <row r="634" spans="1:23" ht="22.5" x14ac:dyDescent="0.15">
      <c r="A634" s="16" t="s">
        <v>935</v>
      </c>
      <c r="B634" s="129" t="s">
        <v>646</v>
      </c>
      <c r="C634" s="130"/>
      <c r="D634" s="15" t="s">
        <v>1011</v>
      </c>
      <c r="E634" s="14" t="s">
        <v>1396</v>
      </c>
      <c r="F634" s="13" t="s">
        <v>2495</v>
      </c>
      <c r="G634" s="131" t="s">
        <v>572</v>
      </c>
      <c r="H634" s="132"/>
      <c r="I634" s="132"/>
      <c r="J634" s="132"/>
      <c r="K634" s="132"/>
      <c r="L634" s="132"/>
      <c r="M634" s="133"/>
    </row>
    <row r="635" spans="1:23" x14ac:dyDescent="0.15">
      <c r="A635" s="134" t="s">
        <v>977</v>
      </c>
      <c r="B635" s="136" t="s">
        <v>920</v>
      </c>
      <c r="C635" s="138" t="s">
        <v>1008</v>
      </c>
      <c r="D635" s="140" t="s">
        <v>1009</v>
      </c>
      <c r="E635" s="142" t="s">
        <v>2118</v>
      </c>
      <c r="F635" s="142" t="s">
        <v>1849</v>
      </c>
      <c r="G635" s="144" t="s">
        <v>994</v>
      </c>
      <c r="H635" s="145"/>
      <c r="I635" s="145"/>
      <c r="J635" s="146"/>
      <c r="K635" s="144" t="s">
        <v>982</v>
      </c>
      <c r="L635" s="145"/>
      <c r="M635" s="147"/>
    </row>
    <row r="636" spans="1:23" x14ac:dyDescent="0.15">
      <c r="A636" s="135"/>
      <c r="B636" s="137"/>
      <c r="C636" s="139"/>
      <c r="D636" s="141"/>
      <c r="E636" s="143"/>
      <c r="F636" s="143"/>
      <c r="G636" s="12" t="s">
        <v>1588</v>
      </c>
      <c r="H636" s="12" t="s">
        <v>1578</v>
      </c>
      <c r="I636" s="12" t="s">
        <v>1562</v>
      </c>
      <c r="J636" s="12" t="s">
        <v>1007</v>
      </c>
      <c r="K636" s="12" t="s">
        <v>1588</v>
      </c>
      <c r="L636" s="12" t="s">
        <v>1578</v>
      </c>
      <c r="M636" s="11" t="s">
        <v>1562</v>
      </c>
    </row>
    <row r="637" spans="1:23" ht="22.5" x14ac:dyDescent="0.15">
      <c r="A637" s="10" t="s">
        <v>1609</v>
      </c>
      <c r="B637" s="9" t="s">
        <v>2683</v>
      </c>
      <c r="C637" s="8" t="s">
        <v>1003</v>
      </c>
      <c r="D637" s="5" t="s">
        <v>84</v>
      </c>
      <c r="E637" s="4" t="s">
        <v>272</v>
      </c>
      <c r="F637" s="4" t="s">
        <v>152</v>
      </c>
      <c r="G637" s="7">
        <v>43067</v>
      </c>
      <c r="H637" s="6" t="s">
        <v>951</v>
      </c>
      <c r="I637" s="5" t="s">
        <v>1587</v>
      </c>
      <c r="J637" s="5"/>
      <c r="K637" s="7"/>
      <c r="L637" s="6"/>
      <c r="M637" s="5"/>
      <c r="Q637" s="3">
        <f t="shared" ref="Q637:Q640" si="404">IF($Q$6&gt;=G637,0)</f>
        <v>0</v>
      </c>
      <c r="R637" s="3">
        <f t="shared" ref="R637:R640" si="405">IF($R$6&gt;=G637,0)</f>
        <v>0</v>
      </c>
      <c r="S637" s="3">
        <f t="shared" ref="S637:S640" si="406">IF($S$6&gt;=G637,0)</f>
        <v>0</v>
      </c>
      <c r="T637" s="3">
        <f t="shared" ref="T637:T640" si="407">IF($T$6&gt;=G637,0)</f>
        <v>0</v>
      </c>
      <c r="U637" s="3">
        <f t="shared" ref="U637:U640" si="408">IF($U$6&gt;=G637,0)</f>
        <v>0</v>
      </c>
      <c r="V637" s="3">
        <f t="shared" ref="V637:V640" si="409">IF($V$6&gt;=G637,0)</f>
        <v>0</v>
      </c>
      <c r="W637">
        <f t="shared" ref="W637:W640" si="410">IF($W$6&gt;=G637,0)</f>
        <v>0</v>
      </c>
    </row>
    <row r="638" spans="1:23" ht="78.75" x14ac:dyDescent="0.15">
      <c r="A638" s="10" t="s">
        <v>2100</v>
      </c>
      <c r="B638" s="9" t="s">
        <v>2695</v>
      </c>
      <c r="C638" s="8" t="s">
        <v>1003</v>
      </c>
      <c r="D638" s="5" t="s">
        <v>84</v>
      </c>
      <c r="E638" s="4" t="s">
        <v>697</v>
      </c>
      <c r="F638" s="4" t="s">
        <v>436</v>
      </c>
      <c r="G638" s="7">
        <v>43067</v>
      </c>
      <c r="H638" s="6" t="s">
        <v>951</v>
      </c>
      <c r="I638" s="5" t="s">
        <v>1587</v>
      </c>
      <c r="J638" s="5"/>
      <c r="K638" s="7"/>
      <c r="L638" s="6"/>
      <c r="M638" s="5"/>
      <c r="Q638" s="3">
        <f t="shared" si="404"/>
        <v>0</v>
      </c>
      <c r="R638" s="3">
        <f t="shared" si="405"/>
        <v>0</v>
      </c>
      <c r="S638" s="3">
        <f t="shared" si="406"/>
        <v>0</v>
      </c>
      <c r="T638" s="3">
        <f t="shared" si="407"/>
        <v>0</v>
      </c>
      <c r="U638" s="3">
        <f t="shared" si="408"/>
        <v>0</v>
      </c>
      <c r="V638" s="3">
        <f t="shared" si="409"/>
        <v>0</v>
      </c>
      <c r="W638">
        <f t="shared" si="410"/>
        <v>0</v>
      </c>
    </row>
    <row r="639" spans="1:23" ht="67.5" x14ac:dyDescent="0.15">
      <c r="A639" s="10" t="s">
        <v>2010</v>
      </c>
      <c r="B639" s="9" t="s">
        <v>2663</v>
      </c>
      <c r="C639" s="8" t="s">
        <v>1003</v>
      </c>
      <c r="D639" s="5" t="s">
        <v>84</v>
      </c>
      <c r="E639" s="4" t="s">
        <v>696</v>
      </c>
      <c r="F639" s="4" t="s">
        <v>719</v>
      </c>
      <c r="G639" s="7">
        <v>43067</v>
      </c>
      <c r="H639" s="6" t="s">
        <v>951</v>
      </c>
      <c r="I639" s="5" t="s">
        <v>1587</v>
      </c>
      <c r="J639" s="5"/>
      <c r="K639" s="7"/>
      <c r="L639" s="6"/>
      <c r="M639" s="5"/>
      <c r="Q639" s="3">
        <f t="shared" si="404"/>
        <v>0</v>
      </c>
      <c r="R639" s="3">
        <f t="shared" si="405"/>
        <v>0</v>
      </c>
      <c r="S639" s="3">
        <f t="shared" si="406"/>
        <v>0</v>
      </c>
      <c r="T639" s="3">
        <f t="shared" si="407"/>
        <v>0</v>
      </c>
      <c r="U639" s="3">
        <f t="shared" si="408"/>
        <v>0</v>
      </c>
      <c r="V639" s="3">
        <f t="shared" si="409"/>
        <v>0</v>
      </c>
      <c r="W639">
        <f t="shared" si="410"/>
        <v>0</v>
      </c>
    </row>
    <row r="640" spans="1:23" ht="67.5" x14ac:dyDescent="0.15">
      <c r="A640" s="10" t="s">
        <v>2229</v>
      </c>
      <c r="B640" s="9" t="s">
        <v>2672</v>
      </c>
      <c r="C640" s="8" t="s">
        <v>1003</v>
      </c>
      <c r="D640" s="5" t="s">
        <v>84</v>
      </c>
      <c r="E640" s="4" t="s">
        <v>89</v>
      </c>
      <c r="F640" s="4" t="s">
        <v>716</v>
      </c>
      <c r="G640" s="7">
        <v>43067</v>
      </c>
      <c r="H640" s="6" t="s">
        <v>951</v>
      </c>
      <c r="I640" s="5" t="s">
        <v>1587</v>
      </c>
      <c r="J640" s="5"/>
      <c r="K640" s="7"/>
      <c r="L640" s="6"/>
      <c r="M640" s="5"/>
      <c r="Q640" s="3">
        <f t="shared" si="404"/>
        <v>0</v>
      </c>
      <c r="R640" s="3">
        <f t="shared" si="405"/>
        <v>0</v>
      </c>
      <c r="S640" s="3">
        <f t="shared" si="406"/>
        <v>0</v>
      </c>
      <c r="T640" s="3">
        <f t="shared" si="407"/>
        <v>0</v>
      </c>
      <c r="U640" s="3">
        <f t="shared" si="408"/>
        <v>0</v>
      </c>
      <c r="V640" s="3">
        <f t="shared" si="409"/>
        <v>0</v>
      </c>
      <c r="W640">
        <f t="shared" si="410"/>
        <v>0</v>
      </c>
    </row>
    <row r="641" spans="1:23" ht="25.5" x14ac:dyDescent="0.15">
      <c r="A641" s="16" t="s">
        <v>935</v>
      </c>
      <c r="B641" s="129" t="s">
        <v>866</v>
      </c>
      <c r="C641" s="130"/>
      <c r="D641" s="15" t="s">
        <v>1011</v>
      </c>
      <c r="E641" s="9" t="s">
        <v>2687</v>
      </c>
      <c r="F641" s="13" t="s">
        <v>2495</v>
      </c>
      <c r="G641" s="131" t="s">
        <v>572</v>
      </c>
      <c r="H641" s="132"/>
      <c r="I641" s="132"/>
      <c r="J641" s="132"/>
      <c r="K641" s="132"/>
      <c r="L641" s="132"/>
      <c r="M641" s="133"/>
    </row>
    <row r="642" spans="1:23" x14ac:dyDescent="0.15">
      <c r="A642" s="134" t="s">
        <v>977</v>
      </c>
      <c r="B642" s="136" t="s">
        <v>920</v>
      </c>
      <c r="C642" s="138" t="s">
        <v>1008</v>
      </c>
      <c r="D642" s="140" t="s">
        <v>1009</v>
      </c>
      <c r="E642" s="142" t="s">
        <v>2118</v>
      </c>
      <c r="F642" s="142" t="s">
        <v>1849</v>
      </c>
      <c r="G642" s="144" t="s">
        <v>994</v>
      </c>
      <c r="H642" s="145"/>
      <c r="I642" s="145"/>
      <c r="J642" s="146"/>
      <c r="K642" s="144" t="s">
        <v>982</v>
      </c>
      <c r="L642" s="145"/>
      <c r="M642" s="147"/>
    </row>
    <row r="643" spans="1:23" x14ac:dyDescent="0.15">
      <c r="A643" s="135"/>
      <c r="B643" s="137"/>
      <c r="C643" s="139"/>
      <c r="D643" s="141"/>
      <c r="E643" s="143"/>
      <c r="F643" s="143"/>
      <c r="G643" s="12" t="s">
        <v>1588</v>
      </c>
      <c r="H643" s="12" t="s">
        <v>1578</v>
      </c>
      <c r="I643" s="12" t="s">
        <v>1562</v>
      </c>
      <c r="J643" s="12" t="s">
        <v>1007</v>
      </c>
      <c r="K643" s="12" t="s">
        <v>1588</v>
      </c>
      <c r="L643" s="12" t="s">
        <v>1578</v>
      </c>
      <c r="M643" s="11" t="s">
        <v>1562</v>
      </c>
    </row>
    <row r="644" spans="1:23" x14ac:dyDescent="0.15">
      <c r="A644" s="10" t="s">
        <v>2505</v>
      </c>
      <c r="B644" s="9" t="s">
        <v>2687</v>
      </c>
      <c r="C644" s="8" t="s">
        <v>1003</v>
      </c>
      <c r="D644" s="5"/>
      <c r="E644" s="4"/>
      <c r="F644" s="4"/>
      <c r="G644" s="7">
        <v>43119</v>
      </c>
      <c r="H644" s="6"/>
      <c r="I644" s="31" t="s">
        <v>1585</v>
      </c>
      <c r="J644" s="5" t="s">
        <v>973</v>
      </c>
      <c r="K644" s="7"/>
      <c r="L644" s="6"/>
      <c r="M644" s="5"/>
      <c r="N644" s="2" t="s">
        <v>1568</v>
      </c>
      <c r="Q644" s="3" t="b">
        <f>IF($Q$6&gt;=G644,0)</f>
        <v>0</v>
      </c>
      <c r="R644" s="3" t="b">
        <f>IF($R$6&gt;=G644,0)</f>
        <v>0</v>
      </c>
      <c r="T644" s="3" t="b">
        <f>IF($T$6&gt;=G644,0)</f>
        <v>0</v>
      </c>
      <c r="U644" s="3" t="b">
        <f>IF($U$6&gt;=G644,0)</f>
        <v>0</v>
      </c>
      <c r="V644" s="3">
        <f>IF($V$6&gt;=G644,0)</f>
        <v>0</v>
      </c>
      <c r="W644">
        <f>IF($W$6&gt;=G644,0)</f>
        <v>0</v>
      </c>
    </row>
    <row r="645" spans="1:23" x14ac:dyDescent="0.15">
      <c r="A645" s="16" t="s">
        <v>935</v>
      </c>
      <c r="B645" s="129" t="s">
        <v>133</v>
      </c>
      <c r="C645" s="130"/>
      <c r="D645" s="15" t="s">
        <v>1011</v>
      </c>
      <c r="E645" s="14" t="s">
        <v>875</v>
      </c>
      <c r="F645" s="13" t="s">
        <v>2495</v>
      </c>
      <c r="G645" s="131" t="s">
        <v>572</v>
      </c>
      <c r="H645" s="132"/>
      <c r="I645" s="132"/>
      <c r="J645" s="132"/>
      <c r="K645" s="132"/>
      <c r="L645" s="132"/>
      <c r="M645" s="133"/>
    </row>
    <row r="646" spans="1:23" x14ac:dyDescent="0.15">
      <c r="A646" s="134" t="s">
        <v>977</v>
      </c>
      <c r="B646" s="136" t="s">
        <v>920</v>
      </c>
      <c r="C646" s="138" t="s">
        <v>1008</v>
      </c>
      <c r="D646" s="140" t="s">
        <v>1009</v>
      </c>
      <c r="E646" s="142" t="s">
        <v>2118</v>
      </c>
      <c r="F646" s="142" t="s">
        <v>1849</v>
      </c>
      <c r="G646" s="144" t="s">
        <v>994</v>
      </c>
      <c r="H646" s="145"/>
      <c r="I646" s="145"/>
      <c r="J646" s="146"/>
      <c r="K646" s="144" t="s">
        <v>982</v>
      </c>
      <c r="L646" s="145"/>
      <c r="M646" s="147"/>
    </row>
    <row r="647" spans="1:23" x14ac:dyDescent="0.15">
      <c r="A647" s="135"/>
      <c r="B647" s="137"/>
      <c r="C647" s="139"/>
      <c r="D647" s="141"/>
      <c r="E647" s="143"/>
      <c r="F647" s="143"/>
      <c r="G647" s="12" t="s">
        <v>1588</v>
      </c>
      <c r="H647" s="12" t="s">
        <v>1578</v>
      </c>
      <c r="I647" s="12" t="s">
        <v>1562</v>
      </c>
      <c r="J647" s="12" t="s">
        <v>1007</v>
      </c>
      <c r="K647" s="12" t="s">
        <v>1588</v>
      </c>
      <c r="L647" s="12" t="s">
        <v>1578</v>
      </c>
      <c r="M647" s="11" t="s">
        <v>1562</v>
      </c>
    </row>
    <row r="648" spans="1:23" ht="33.75" x14ac:dyDescent="0.15">
      <c r="A648" s="30" t="s">
        <v>2126</v>
      </c>
      <c r="B648" s="29" t="s">
        <v>896</v>
      </c>
      <c r="C648" s="28" t="s">
        <v>1003</v>
      </c>
      <c r="D648" s="27" t="s">
        <v>943</v>
      </c>
      <c r="E648" s="26" t="s">
        <v>95</v>
      </c>
      <c r="F648" s="26" t="s">
        <v>1245</v>
      </c>
      <c r="G648" s="25">
        <v>43091</v>
      </c>
      <c r="H648" s="6" t="s">
        <v>951</v>
      </c>
      <c r="I648" s="5" t="s">
        <v>1569</v>
      </c>
      <c r="J648" s="5"/>
      <c r="K648" s="7"/>
      <c r="L648" s="6"/>
      <c r="M648" s="5"/>
      <c r="Q648" s="3" t="b">
        <f t="shared" ref="Q648:Q651" si="411">IF($Q$6&gt;=G648,0)</f>
        <v>0</v>
      </c>
      <c r="R648" s="3">
        <f t="shared" ref="R648:R651" si="412">IF($R$6&gt;=G648,0)</f>
        <v>0</v>
      </c>
      <c r="S648" s="3">
        <f t="shared" ref="S648:S651" si="413">IF($S$6&gt;=G648,0)</f>
        <v>0</v>
      </c>
      <c r="T648" s="3">
        <f t="shared" ref="T648:T651" si="414">IF($T$6&gt;=G648,0)</f>
        <v>0</v>
      </c>
      <c r="U648" s="3">
        <f t="shared" ref="U648:U651" si="415">IF($U$6&gt;=G648,0)</f>
        <v>0</v>
      </c>
      <c r="V648" s="3">
        <f t="shared" ref="V648:V651" si="416">IF($V$6&gt;=G648,0)</f>
        <v>0</v>
      </c>
      <c r="W648">
        <f t="shared" ref="W648:W651" si="417">IF($W$6&gt;=G648,0)</f>
        <v>0</v>
      </c>
    </row>
    <row r="649" spans="1:23" ht="45" x14ac:dyDescent="0.15">
      <c r="A649" s="30" t="s">
        <v>2549</v>
      </c>
      <c r="B649" s="29" t="s">
        <v>899</v>
      </c>
      <c r="C649" s="28" t="s">
        <v>1003</v>
      </c>
      <c r="D649" s="27" t="s">
        <v>943</v>
      </c>
      <c r="E649" s="26" t="s">
        <v>721</v>
      </c>
      <c r="F649" s="26" t="s">
        <v>325</v>
      </c>
      <c r="G649" s="25">
        <v>43091</v>
      </c>
      <c r="H649" s="6" t="s">
        <v>951</v>
      </c>
      <c r="I649" s="5" t="s">
        <v>1569</v>
      </c>
      <c r="J649" s="5"/>
      <c r="K649" s="7"/>
      <c r="L649" s="6"/>
      <c r="M649" s="5"/>
      <c r="Q649" s="3" t="b">
        <f t="shared" si="411"/>
        <v>0</v>
      </c>
      <c r="R649" s="3">
        <f t="shared" si="412"/>
        <v>0</v>
      </c>
      <c r="S649" s="3">
        <f t="shared" si="413"/>
        <v>0</v>
      </c>
      <c r="T649" s="3">
        <f t="shared" si="414"/>
        <v>0</v>
      </c>
      <c r="U649" s="3">
        <f t="shared" si="415"/>
        <v>0</v>
      </c>
      <c r="V649" s="3">
        <f t="shared" si="416"/>
        <v>0</v>
      </c>
      <c r="W649">
        <f t="shared" si="417"/>
        <v>0</v>
      </c>
    </row>
    <row r="650" spans="1:23" ht="22.5" x14ac:dyDescent="0.15">
      <c r="A650" s="30" t="s">
        <v>2045</v>
      </c>
      <c r="B650" s="29" t="s">
        <v>897</v>
      </c>
      <c r="C650" s="28" t="s">
        <v>1003</v>
      </c>
      <c r="D650" s="27" t="s">
        <v>943</v>
      </c>
      <c r="E650" s="26" t="s">
        <v>501</v>
      </c>
      <c r="F650" s="26" t="s">
        <v>1316</v>
      </c>
      <c r="G650" s="25">
        <v>43091</v>
      </c>
      <c r="H650" s="6" t="s">
        <v>951</v>
      </c>
      <c r="I650" s="5" t="s">
        <v>1569</v>
      </c>
      <c r="J650" s="5"/>
      <c r="K650" s="7"/>
      <c r="L650" s="6"/>
      <c r="M650" s="5"/>
      <c r="Q650" s="3" t="b">
        <f t="shared" si="411"/>
        <v>0</v>
      </c>
      <c r="R650" s="3">
        <f t="shared" si="412"/>
        <v>0</v>
      </c>
      <c r="S650" s="3">
        <f t="shared" si="413"/>
        <v>0</v>
      </c>
      <c r="T650" s="3">
        <f t="shared" si="414"/>
        <v>0</v>
      </c>
      <c r="U650" s="3">
        <f t="shared" si="415"/>
        <v>0</v>
      </c>
      <c r="V650" s="3">
        <f t="shared" si="416"/>
        <v>0</v>
      </c>
      <c r="W650">
        <f t="shared" si="417"/>
        <v>0</v>
      </c>
    </row>
    <row r="651" spans="1:23" ht="22.5" x14ac:dyDescent="0.15">
      <c r="A651" s="30" t="s">
        <v>2300</v>
      </c>
      <c r="B651" s="29" t="s">
        <v>898</v>
      </c>
      <c r="C651" s="28" t="s">
        <v>1003</v>
      </c>
      <c r="D651" s="27" t="s">
        <v>943</v>
      </c>
      <c r="E651" s="26" t="s">
        <v>1157</v>
      </c>
      <c r="F651" s="26" t="s">
        <v>2657</v>
      </c>
      <c r="G651" s="25">
        <v>43091</v>
      </c>
      <c r="H651" s="6" t="s">
        <v>951</v>
      </c>
      <c r="I651" s="5" t="s">
        <v>1569</v>
      </c>
      <c r="J651" s="5"/>
      <c r="K651" s="7"/>
      <c r="L651" s="6"/>
      <c r="M651" s="5"/>
      <c r="Q651" s="3" t="b">
        <f t="shared" si="411"/>
        <v>0</v>
      </c>
      <c r="R651" s="3">
        <f t="shared" si="412"/>
        <v>0</v>
      </c>
      <c r="S651" s="3">
        <f t="shared" si="413"/>
        <v>0</v>
      </c>
      <c r="T651" s="3">
        <f t="shared" si="414"/>
        <v>0</v>
      </c>
      <c r="U651" s="3">
        <f t="shared" si="415"/>
        <v>0</v>
      </c>
      <c r="V651" s="3">
        <f t="shared" si="416"/>
        <v>0</v>
      </c>
      <c r="W651">
        <f t="shared" si="417"/>
        <v>0</v>
      </c>
    </row>
    <row r="652" spans="1:23" x14ac:dyDescent="0.15">
      <c r="A652" s="16" t="s">
        <v>935</v>
      </c>
      <c r="B652" s="129" t="s">
        <v>559</v>
      </c>
      <c r="C652" s="130"/>
      <c r="D652" s="15" t="s">
        <v>1011</v>
      </c>
      <c r="E652" s="14" t="s">
        <v>207</v>
      </c>
      <c r="F652" s="13" t="s">
        <v>2495</v>
      </c>
      <c r="G652" s="131" t="s">
        <v>572</v>
      </c>
      <c r="H652" s="132"/>
      <c r="I652" s="132"/>
      <c r="J652" s="132"/>
      <c r="K652" s="132"/>
      <c r="L652" s="132"/>
      <c r="M652" s="133"/>
    </row>
    <row r="653" spans="1:23" x14ac:dyDescent="0.15">
      <c r="A653" s="134" t="s">
        <v>977</v>
      </c>
      <c r="B653" s="136" t="s">
        <v>920</v>
      </c>
      <c r="C653" s="138" t="s">
        <v>1008</v>
      </c>
      <c r="D653" s="140" t="s">
        <v>1009</v>
      </c>
      <c r="E653" s="142" t="s">
        <v>2118</v>
      </c>
      <c r="F653" s="142" t="s">
        <v>1849</v>
      </c>
      <c r="G653" s="144" t="s">
        <v>994</v>
      </c>
      <c r="H653" s="145"/>
      <c r="I653" s="145"/>
      <c r="J653" s="146"/>
      <c r="K653" s="144" t="s">
        <v>982</v>
      </c>
      <c r="L653" s="145"/>
      <c r="M653" s="147"/>
    </row>
    <row r="654" spans="1:23" x14ac:dyDescent="0.15">
      <c r="A654" s="135"/>
      <c r="B654" s="137"/>
      <c r="C654" s="139"/>
      <c r="D654" s="141"/>
      <c r="E654" s="143"/>
      <c r="F654" s="143"/>
      <c r="G654" s="12" t="s">
        <v>1588</v>
      </c>
      <c r="H654" s="12" t="s">
        <v>1578</v>
      </c>
      <c r="I654" s="12" t="s">
        <v>1562</v>
      </c>
      <c r="J654" s="12" t="s">
        <v>1007</v>
      </c>
      <c r="K654" s="12" t="s">
        <v>1588</v>
      </c>
      <c r="L654" s="12" t="s">
        <v>1578</v>
      </c>
      <c r="M654" s="11" t="s">
        <v>1562</v>
      </c>
    </row>
    <row r="655" spans="1:23" s="19" customFormat="1" x14ac:dyDescent="0.15">
      <c r="A655" s="18" t="s">
        <v>2109</v>
      </c>
      <c r="B655" s="24" t="s">
        <v>207</v>
      </c>
      <c r="C655" s="23" t="s">
        <v>1003</v>
      </c>
      <c r="D655" s="20"/>
      <c r="E655" s="22"/>
      <c r="F655" s="22"/>
      <c r="G655" s="7">
        <v>43119</v>
      </c>
      <c r="H655" s="21"/>
      <c r="I655" s="17" t="s">
        <v>1580</v>
      </c>
      <c r="J655" s="20"/>
      <c r="K655" s="20"/>
      <c r="L655" s="21"/>
      <c r="M655" s="20"/>
      <c r="N655" s="2" t="s">
        <v>1586</v>
      </c>
      <c r="Q655" s="3" t="b">
        <f t="shared" ref="Q655:Q658" si="418">IF($Q$6&gt;=G655,0)</f>
        <v>0</v>
      </c>
      <c r="R655" s="3" t="b">
        <f t="shared" ref="R655:R658" si="419">IF($R$6&gt;=G655,0)</f>
        <v>0</v>
      </c>
      <c r="S655" s="3"/>
      <c r="T655" s="3" t="b">
        <f t="shared" ref="T655:T658" si="420">IF($T$6&gt;=G655,0)</f>
        <v>0</v>
      </c>
      <c r="U655" s="3" t="b">
        <f t="shared" ref="U655:U658" si="421">IF($U$6&gt;=G655,0)</f>
        <v>0</v>
      </c>
      <c r="V655" s="3">
        <f t="shared" ref="V655:V658" si="422">IF($V$6&gt;=G655,0)</f>
        <v>0</v>
      </c>
      <c r="W655">
        <f t="shared" ref="W655:W658" si="423">IF($W$6&gt;=G655,0)</f>
        <v>0</v>
      </c>
    </row>
    <row r="656" spans="1:23" x14ac:dyDescent="0.15">
      <c r="A656" s="18" t="s">
        <v>2093</v>
      </c>
      <c r="B656" s="9" t="s">
        <v>2701</v>
      </c>
      <c r="C656" s="8" t="s">
        <v>1003</v>
      </c>
      <c r="D656" s="5"/>
      <c r="E656" s="4"/>
      <c r="F656" s="4"/>
      <c r="G656" s="7">
        <v>43119</v>
      </c>
      <c r="H656" s="6"/>
      <c r="I656" s="17" t="s">
        <v>1580</v>
      </c>
      <c r="J656" s="5"/>
      <c r="K656" s="7"/>
      <c r="L656" s="6"/>
      <c r="M656" s="5"/>
      <c r="N656" s="2" t="s">
        <v>1586</v>
      </c>
      <c r="Q656" s="3" t="b">
        <f t="shared" si="418"/>
        <v>0</v>
      </c>
      <c r="R656" s="3" t="b">
        <f t="shared" si="419"/>
        <v>0</v>
      </c>
      <c r="T656" s="3" t="b">
        <f t="shared" si="420"/>
        <v>0</v>
      </c>
      <c r="U656" s="3" t="b">
        <f t="shared" si="421"/>
        <v>0</v>
      </c>
      <c r="V656" s="3">
        <f t="shared" si="422"/>
        <v>0</v>
      </c>
      <c r="W656">
        <f t="shared" si="423"/>
        <v>0</v>
      </c>
    </row>
    <row r="657" spans="1:23" x14ac:dyDescent="0.15">
      <c r="A657" s="18" t="s">
        <v>2057</v>
      </c>
      <c r="B657" s="9" t="s">
        <v>2702</v>
      </c>
      <c r="C657" s="8" t="s">
        <v>1003</v>
      </c>
      <c r="D657" s="5"/>
      <c r="E657" s="4"/>
      <c r="F657" s="4"/>
      <c r="G657" s="7">
        <v>43119</v>
      </c>
      <c r="H657" s="6"/>
      <c r="I657" s="17" t="s">
        <v>1580</v>
      </c>
      <c r="J657" s="5"/>
      <c r="K657" s="7"/>
      <c r="L657" s="6"/>
      <c r="M657" s="5"/>
      <c r="N657" s="2" t="s">
        <v>1586</v>
      </c>
      <c r="Q657" s="3" t="b">
        <f t="shared" si="418"/>
        <v>0</v>
      </c>
      <c r="R657" s="3" t="b">
        <f t="shared" si="419"/>
        <v>0</v>
      </c>
      <c r="T657" s="3" t="b">
        <f t="shared" si="420"/>
        <v>0</v>
      </c>
      <c r="U657" s="3" t="b">
        <f t="shared" si="421"/>
        <v>0</v>
      </c>
      <c r="V657" s="3">
        <f t="shared" si="422"/>
        <v>0</v>
      </c>
      <c r="W657">
        <f t="shared" si="423"/>
        <v>0</v>
      </c>
    </row>
    <row r="658" spans="1:23" ht="25.5" x14ac:dyDescent="0.15">
      <c r="A658" s="18" t="s">
        <v>2122</v>
      </c>
      <c r="B658" s="9" t="s">
        <v>97</v>
      </c>
      <c r="C658" s="8" t="s">
        <v>1003</v>
      </c>
      <c r="D658" s="5"/>
      <c r="E658" s="4"/>
      <c r="F658" s="4"/>
      <c r="G658" s="7">
        <v>43119</v>
      </c>
      <c r="H658" s="6"/>
      <c r="I658" s="17" t="s">
        <v>1580</v>
      </c>
      <c r="J658" s="5"/>
      <c r="K658" s="7"/>
      <c r="L658" s="6"/>
      <c r="M658" s="5"/>
      <c r="N658" s="2" t="s">
        <v>1586</v>
      </c>
      <c r="Q658" s="3" t="b">
        <f t="shared" si="418"/>
        <v>0</v>
      </c>
      <c r="R658" s="3" t="b">
        <f t="shared" si="419"/>
        <v>0</v>
      </c>
      <c r="T658" s="3" t="b">
        <f t="shared" si="420"/>
        <v>0</v>
      </c>
      <c r="U658" s="3" t="b">
        <f t="shared" si="421"/>
        <v>0</v>
      </c>
      <c r="V658" s="3">
        <f t="shared" si="422"/>
        <v>0</v>
      </c>
      <c r="W658">
        <f t="shared" si="423"/>
        <v>0</v>
      </c>
    </row>
    <row r="659" spans="1:23" x14ac:dyDescent="0.15">
      <c r="A659" s="16" t="s">
        <v>935</v>
      </c>
      <c r="B659" s="129" t="s">
        <v>598</v>
      </c>
      <c r="C659" s="130"/>
      <c r="D659" s="15" t="s">
        <v>1011</v>
      </c>
      <c r="E659" s="14" t="s">
        <v>2099</v>
      </c>
      <c r="F659" s="13" t="s">
        <v>2495</v>
      </c>
      <c r="G659" s="131" t="s">
        <v>860</v>
      </c>
      <c r="H659" s="132"/>
      <c r="I659" s="132"/>
      <c r="J659" s="132"/>
      <c r="K659" s="132"/>
      <c r="L659" s="132"/>
      <c r="M659" s="133"/>
    </row>
    <row r="660" spans="1:23" x14ac:dyDescent="0.15">
      <c r="A660" s="134" t="s">
        <v>977</v>
      </c>
      <c r="B660" s="136" t="s">
        <v>920</v>
      </c>
      <c r="C660" s="138" t="s">
        <v>1008</v>
      </c>
      <c r="D660" s="140" t="s">
        <v>1009</v>
      </c>
      <c r="E660" s="142" t="s">
        <v>2118</v>
      </c>
      <c r="F660" s="142" t="s">
        <v>1849</v>
      </c>
      <c r="G660" s="144" t="s">
        <v>994</v>
      </c>
      <c r="H660" s="145"/>
      <c r="I660" s="145"/>
      <c r="J660" s="146"/>
      <c r="K660" s="144" t="s">
        <v>982</v>
      </c>
      <c r="L660" s="145"/>
      <c r="M660" s="147"/>
    </row>
    <row r="661" spans="1:23" x14ac:dyDescent="0.15">
      <c r="A661" s="135"/>
      <c r="B661" s="137"/>
      <c r="C661" s="139"/>
      <c r="D661" s="141"/>
      <c r="E661" s="143"/>
      <c r="F661" s="143"/>
      <c r="G661" s="12" t="s">
        <v>1588</v>
      </c>
      <c r="H661" s="12" t="s">
        <v>1578</v>
      </c>
      <c r="I661" s="12" t="s">
        <v>1562</v>
      </c>
      <c r="J661" s="12" t="s">
        <v>1007</v>
      </c>
      <c r="K661" s="12" t="s">
        <v>1588</v>
      </c>
      <c r="L661" s="12" t="s">
        <v>1578</v>
      </c>
      <c r="M661" s="11" t="s">
        <v>1562</v>
      </c>
    </row>
    <row r="662" spans="1:23" ht="33.75" x14ac:dyDescent="0.15">
      <c r="A662" s="10" t="s">
        <v>2501</v>
      </c>
      <c r="B662" s="9" t="s">
        <v>2181</v>
      </c>
      <c r="C662" s="8" t="s">
        <v>1003</v>
      </c>
      <c r="D662" s="5" t="s">
        <v>2321</v>
      </c>
      <c r="E662" s="4" t="s">
        <v>1841</v>
      </c>
      <c r="F662" s="4" t="s">
        <v>385</v>
      </c>
      <c r="G662" s="7">
        <v>43067</v>
      </c>
      <c r="H662" s="6" t="s">
        <v>951</v>
      </c>
      <c r="I662" s="5" t="s">
        <v>1570</v>
      </c>
      <c r="J662" s="5"/>
      <c r="K662" s="7"/>
      <c r="L662" s="6"/>
      <c r="M662" s="5"/>
      <c r="Q662" s="3">
        <f t="shared" ref="Q662:Q665" si="424">IF($Q$6&gt;=G662,0)</f>
        <v>0</v>
      </c>
      <c r="R662" s="3">
        <f t="shared" ref="R662:R665" si="425">IF($R$6&gt;=G662,0)</f>
        <v>0</v>
      </c>
      <c r="S662" s="3">
        <f t="shared" ref="S662:S665" si="426">IF($S$6&gt;=G662,0)</f>
        <v>0</v>
      </c>
      <c r="T662" s="3">
        <f t="shared" ref="T662:T665" si="427">IF($T$6&gt;=G662,0)</f>
        <v>0</v>
      </c>
      <c r="U662" s="3">
        <f t="shared" ref="U662:U665" si="428">IF($U$6&gt;=G662,0)</f>
        <v>0</v>
      </c>
      <c r="V662" s="3">
        <f t="shared" ref="V662:V665" si="429">IF($V$6&gt;=G662,0)</f>
        <v>0</v>
      </c>
      <c r="W662">
        <f t="shared" ref="W662:W665" si="430">IF($W$6&gt;=G662,0)</f>
        <v>0</v>
      </c>
    </row>
    <row r="663" spans="1:23" ht="45" x14ac:dyDescent="0.15">
      <c r="A663" s="10" t="s">
        <v>2048</v>
      </c>
      <c r="B663" s="9" t="s">
        <v>2171</v>
      </c>
      <c r="C663" s="8" t="s">
        <v>1003</v>
      </c>
      <c r="D663" s="5" t="s">
        <v>2321</v>
      </c>
      <c r="E663" s="4" t="s">
        <v>455</v>
      </c>
      <c r="F663" s="4" t="s">
        <v>1050</v>
      </c>
      <c r="G663" s="7">
        <v>43067</v>
      </c>
      <c r="H663" s="6" t="s">
        <v>951</v>
      </c>
      <c r="I663" s="5" t="s">
        <v>1570</v>
      </c>
      <c r="J663" s="5"/>
      <c r="K663" s="7"/>
      <c r="L663" s="6"/>
      <c r="M663" s="5"/>
      <c r="Q663" s="3">
        <f t="shared" si="424"/>
        <v>0</v>
      </c>
      <c r="R663" s="3">
        <f t="shared" si="425"/>
        <v>0</v>
      </c>
      <c r="S663" s="3">
        <f t="shared" si="426"/>
        <v>0</v>
      </c>
      <c r="T663" s="3">
        <f t="shared" si="427"/>
        <v>0</v>
      </c>
      <c r="U663" s="3">
        <f t="shared" si="428"/>
        <v>0</v>
      </c>
      <c r="V663" s="3">
        <f t="shared" si="429"/>
        <v>0</v>
      </c>
      <c r="W663">
        <f t="shared" si="430"/>
        <v>0</v>
      </c>
    </row>
    <row r="664" spans="1:23" ht="33.75" x14ac:dyDescent="0.15">
      <c r="A664" s="10" t="s">
        <v>2156</v>
      </c>
      <c r="B664" s="9" t="s">
        <v>1855</v>
      </c>
      <c r="C664" s="8" t="s">
        <v>1003</v>
      </c>
      <c r="D664" s="5" t="s">
        <v>2321</v>
      </c>
      <c r="E664" s="4" t="s">
        <v>1841</v>
      </c>
      <c r="F664" s="4" t="s">
        <v>385</v>
      </c>
      <c r="G664" s="7">
        <v>43067</v>
      </c>
      <c r="H664" s="6" t="s">
        <v>951</v>
      </c>
      <c r="I664" s="5" t="s">
        <v>1570</v>
      </c>
      <c r="J664" s="5"/>
      <c r="K664" s="7"/>
      <c r="L664" s="6"/>
      <c r="M664" s="5"/>
      <c r="Q664" s="3">
        <f t="shared" si="424"/>
        <v>0</v>
      </c>
      <c r="R664" s="3">
        <f t="shared" si="425"/>
        <v>0</v>
      </c>
      <c r="S664" s="3">
        <f t="shared" si="426"/>
        <v>0</v>
      </c>
      <c r="T664" s="3">
        <f t="shared" si="427"/>
        <v>0</v>
      </c>
      <c r="U664" s="3">
        <f t="shared" si="428"/>
        <v>0</v>
      </c>
      <c r="V664" s="3">
        <f t="shared" si="429"/>
        <v>0</v>
      </c>
      <c r="W664">
        <f t="shared" si="430"/>
        <v>0</v>
      </c>
    </row>
    <row r="665" spans="1:23" ht="33.75" x14ac:dyDescent="0.15">
      <c r="A665" s="10" t="s">
        <v>2296</v>
      </c>
      <c r="B665" s="9" t="s">
        <v>2164</v>
      </c>
      <c r="C665" s="8" t="s">
        <v>1003</v>
      </c>
      <c r="D665" s="5" t="s">
        <v>2321</v>
      </c>
      <c r="E665" s="4" t="s">
        <v>1841</v>
      </c>
      <c r="F665" s="4" t="s">
        <v>385</v>
      </c>
      <c r="G665" s="7">
        <v>43067</v>
      </c>
      <c r="H665" s="6" t="s">
        <v>951</v>
      </c>
      <c r="I665" s="5" t="s">
        <v>1570</v>
      </c>
      <c r="J665" s="5"/>
      <c r="K665" s="7"/>
      <c r="L665" s="6"/>
      <c r="M665" s="5"/>
      <c r="Q665" s="3">
        <f t="shared" si="424"/>
        <v>0</v>
      </c>
      <c r="R665" s="3">
        <f t="shared" si="425"/>
        <v>0</v>
      </c>
      <c r="S665" s="3">
        <f t="shared" si="426"/>
        <v>0</v>
      </c>
      <c r="T665" s="3">
        <f t="shared" si="427"/>
        <v>0</v>
      </c>
      <c r="U665" s="3">
        <f t="shared" si="428"/>
        <v>0</v>
      </c>
      <c r="V665" s="3">
        <f t="shared" si="429"/>
        <v>0</v>
      </c>
      <c r="W665">
        <f t="shared" si="430"/>
        <v>0</v>
      </c>
    </row>
    <row r="672" spans="1:23" x14ac:dyDescent="0.15">
      <c r="K672" s="3" t="s">
        <v>1571</v>
      </c>
      <c r="M672" s="3" t="s">
        <v>1568</v>
      </c>
      <c r="N672" s="2">
        <v>139</v>
      </c>
    </row>
    <row r="673" spans="11:14" x14ac:dyDescent="0.15">
      <c r="M673" s="3" t="s">
        <v>1565</v>
      </c>
      <c r="N673" s="2">
        <v>45</v>
      </c>
    </row>
    <row r="674" spans="11:14" x14ac:dyDescent="0.15">
      <c r="M674" s="3" t="s">
        <v>1586</v>
      </c>
      <c r="N674" s="2">
        <v>21</v>
      </c>
    </row>
    <row r="675" spans="11:14" x14ac:dyDescent="0.15">
      <c r="N675" s="2">
        <f>SUBTOTAL(9,N672:N674)</f>
        <v>205</v>
      </c>
    </row>
    <row r="676" spans="11:14" x14ac:dyDescent="0.15">
      <c r="K676" s="3" t="s">
        <v>990</v>
      </c>
      <c r="N676" s="2">
        <f>207/412</f>
        <v>0.50242718446601942</v>
      </c>
    </row>
    <row r="677" spans="11:14" x14ac:dyDescent="0.15">
      <c r="K677" s="3" t="s">
        <v>952</v>
      </c>
      <c r="N677" s="2">
        <f>207/346</f>
        <v>0.59826589595375723</v>
      </c>
    </row>
  </sheetData>
  <mergeCells count="705">
    <mergeCell ref="A1:G1"/>
    <mergeCell ref="B2:D2"/>
    <mergeCell ref="F2:M2"/>
    <mergeCell ref="B3:C3"/>
    <mergeCell ref="G3:M3"/>
    <mergeCell ref="B4:C4"/>
    <mergeCell ref="G4:M4"/>
    <mergeCell ref="A5:A6"/>
    <mergeCell ref="B5:B6"/>
    <mergeCell ref="C5:C6"/>
    <mergeCell ref="D5:D6"/>
    <mergeCell ref="E5:E6"/>
    <mergeCell ref="F5:F6"/>
    <mergeCell ref="G5:J5"/>
    <mergeCell ref="K5:M5"/>
    <mergeCell ref="B12:C12"/>
    <mergeCell ref="G12:M12"/>
    <mergeCell ref="A13:A14"/>
    <mergeCell ref="B13:B14"/>
    <mergeCell ref="C13:C14"/>
    <mergeCell ref="D13:D14"/>
    <mergeCell ref="E13:E14"/>
    <mergeCell ref="F13:F14"/>
    <mergeCell ref="G13:J13"/>
    <mergeCell ref="K13:M13"/>
    <mergeCell ref="B18:C18"/>
    <mergeCell ref="G18:M18"/>
    <mergeCell ref="A19:A20"/>
    <mergeCell ref="B19:B20"/>
    <mergeCell ref="C19:C20"/>
    <mergeCell ref="D19:D20"/>
    <mergeCell ref="E19:E20"/>
    <mergeCell ref="F19:F20"/>
    <mergeCell ref="G19:J19"/>
    <mergeCell ref="K19:M19"/>
    <mergeCell ref="B22:C22"/>
    <mergeCell ref="G22:M22"/>
    <mergeCell ref="A23:A24"/>
    <mergeCell ref="B23:B24"/>
    <mergeCell ref="C23:C24"/>
    <mergeCell ref="D23:D24"/>
    <mergeCell ref="E23:E24"/>
    <mergeCell ref="F23:F24"/>
    <mergeCell ref="G23:J23"/>
    <mergeCell ref="K23:M23"/>
    <mergeCell ref="B41:C41"/>
    <mergeCell ref="G41:M41"/>
    <mergeCell ref="A42:A43"/>
    <mergeCell ref="B42:B43"/>
    <mergeCell ref="C42:C43"/>
    <mergeCell ref="D42:D43"/>
    <mergeCell ref="E42:E43"/>
    <mergeCell ref="F42:F43"/>
    <mergeCell ref="G42:J42"/>
    <mergeCell ref="K42:M42"/>
    <mergeCell ref="B48:C48"/>
    <mergeCell ref="G48:M48"/>
    <mergeCell ref="A49:A50"/>
    <mergeCell ref="B49:B50"/>
    <mergeCell ref="C49:C50"/>
    <mergeCell ref="D49:D50"/>
    <mergeCell ref="E49:E50"/>
    <mergeCell ref="F49:F50"/>
    <mergeCell ref="G49:J49"/>
    <mergeCell ref="K49:M49"/>
    <mergeCell ref="B52:C52"/>
    <mergeCell ref="G52:M52"/>
    <mergeCell ref="A53:A54"/>
    <mergeCell ref="B53:B54"/>
    <mergeCell ref="C53:C54"/>
    <mergeCell ref="D53:D54"/>
    <mergeCell ref="E53:E54"/>
    <mergeCell ref="F53:F54"/>
    <mergeCell ref="G53:J53"/>
    <mergeCell ref="K53:M53"/>
    <mergeCell ref="B56:C56"/>
    <mergeCell ref="G56:M56"/>
    <mergeCell ref="A57:A58"/>
    <mergeCell ref="B57:B58"/>
    <mergeCell ref="C57:C58"/>
    <mergeCell ref="D57:D58"/>
    <mergeCell ref="E57:E58"/>
    <mergeCell ref="F57:F58"/>
    <mergeCell ref="G57:J57"/>
    <mergeCell ref="K57:M57"/>
    <mergeCell ref="B60:C60"/>
    <mergeCell ref="G60:M60"/>
    <mergeCell ref="A61:A62"/>
    <mergeCell ref="B61:B62"/>
    <mergeCell ref="C61:C62"/>
    <mergeCell ref="D61:D62"/>
    <mergeCell ref="E61:E62"/>
    <mergeCell ref="F61:F62"/>
    <mergeCell ref="G61:J61"/>
    <mergeCell ref="K61:M61"/>
    <mergeCell ref="B65:C65"/>
    <mergeCell ref="G65:M65"/>
    <mergeCell ref="A66:A67"/>
    <mergeCell ref="B66:B67"/>
    <mergeCell ref="C66:C67"/>
    <mergeCell ref="D66:D67"/>
    <mergeCell ref="E66:E67"/>
    <mergeCell ref="F66:F67"/>
    <mergeCell ref="G66:J66"/>
    <mergeCell ref="K66:M66"/>
    <mergeCell ref="B69:C69"/>
    <mergeCell ref="G69:M69"/>
    <mergeCell ref="A70:A71"/>
    <mergeCell ref="B70:B71"/>
    <mergeCell ref="C70:C71"/>
    <mergeCell ref="D70:D71"/>
    <mergeCell ref="E70:E71"/>
    <mergeCell ref="F70:F71"/>
    <mergeCell ref="G70:J70"/>
    <mergeCell ref="K70:M70"/>
    <mergeCell ref="B84:C84"/>
    <mergeCell ref="G84:M84"/>
    <mergeCell ref="A85:A86"/>
    <mergeCell ref="B85:B86"/>
    <mergeCell ref="C85:C86"/>
    <mergeCell ref="D85:D86"/>
    <mergeCell ref="E85:E86"/>
    <mergeCell ref="F85:F86"/>
    <mergeCell ref="G85:J85"/>
    <mergeCell ref="K85:M85"/>
    <mergeCell ref="B88:C88"/>
    <mergeCell ref="G88:M88"/>
    <mergeCell ref="A89:A90"/>
    <mergeCell ref="B89:B90"/>
    <mergeCell ref="C89:C90"/>
    <mergeCell ref="D89:D90"/>
    <mergeCell ref="E89:E90"/>
    <mergeCell ref="F89:F90"/>
    <mergeCell ref="G89:J89"/>
    <mergeCell ref="K89:M89"/>
    <mergeCell ref="B97:C97"/>
    <mergeCell ref="G97:M97"/>
    <mergeCell ref="A98:A99"/>
    <mergeCell ref="B98:B99"/>
    <mergeCell ref="C98:C99"/>
    <mergeCell ref="D98:D99"/>
    <mergeCell ref="E98:E99"/>
    <mergeCell ref="F98:F99"/>
    <mergeCell ref="G98:J98"/>
    <mergeCell ref="K98:M98"/>
    <mergeCell ref="B106:C106"/>
    <mergeCell ref="G106:M106"/>
    <mergeCell ref="A107:A108"/>
    <mergeCell ref="B107:B108"/>
    <mergeCell ref="C107:C108"/>
    <mergeCell ref="D107:D108"/>
    <mergeCell ref="E107:E108"/>
    <mergeCell ref="F107:F108"/>
    <mergeCell ref="G107:J107"/>
    <mergeCell ref="K107:M107"/>
    <mergeCell ref="B115:C115"/>
    <mergeCell ref="G115:M115"/>
    <mergeCell ref="A116:A117"/>
    <mergeCell ref="B116:B117"/>
    <mergeCell ref="C116:C117"/>
    <mergeCell ref="D116:D117"/>
    <mergeCell ref="E116:E117"/>
    <mergeCell ref="F116:F117"/>
    <mergeCell ref="G116:J116"/>
    <mergeCell ref="K116:M116"/>
    <mergeCell ref="B124:C124"/>
    <mergeCell ref="G124:M124"/>
    <mergeCell ref="A125:A126"/>
    <mergeCell ref="B125:B126"/>
    <mergeCell ref="C125:C126"/>
    <mergeCell ref="D125:D126"/>
    <mergeCell ref="E125:E126"/>
    <mergeCell ref="F125:F126"/>
    <mergeCell ref="G125:J125"/>
    <mergeCell ref="K125:M125"/>
    <mergeCell ref="B128:C128"/>
    <mergeCell ref="G128:M128"/>
    <mergeCell ref="A129:A130"/>
    <mergeCell ref="B129:B130"/>
    <mergeCell ref="C129:C130"/>
    <mergeCell ref="D129:D130"/>
    <mergeCell ref="E129:E130"/>
    <mergeCell ref="F129:F130"/>
    <mergeCell ref="G129:J129"/>
    <mergeCell ref="K129:M129"/>
    <mergeCell ref="B137:C137"/>
    <mergeCell ref="G137:M137"/>
    <mergeCell ref="A138:A139"/>
    <mergeCell ref="B138:B139"/>
    <mergeCell ref="C138:C139"/>
    <mergeCell ref="D138:D139"/>
    <mergeCell ref="E138:E139"/>
    <mergeCell ref="F138:F139"/>
    <mergeCell ref="G138:J138"/>
    <mergeCell ref="K138:M138"/>
    <mergeCell ref="B146:C146"/>
    <mergeCell ref="G146:M146"/>
    <mergeCell ref="A147:A148"/>
    <mergeCell ref="B147:B148"/>
    <mergeCell ref="C147:C148"/>
    <mergeCell ref="D147:D148"/>
    <mergeCell ref="E147:E148"/>
    <mergeCell ref="F147:F148"/>
    <mergeCell ref="G147:J147"/>
    <mergeCell ref="K147:M147"/>
    <mergeCell ref="B155:C155"/>
    <mergeCell ref="G155:M155"/>
    <mergeCell ref="A156:A157"/>
    <mergeCell ref="B156:B157"/>
    <mergeCell ref="C156:C157"/>
    <mergeCell ref="D156:D157"/>
    <mergeCell ref="E156:E157"/>
    <mergeCell ref="F156:F157"/>
    <mergeCell ref="G156:J156"/>
    <mergeCell ref="K156:M156"/>
    <mergeCell ref="B161:C161"/>
    <mergeCell ref="G161:M161"/>
    <mergeCell ref="A162:A163"/>
    <mergeCell ref="B162:B163"/>
    <mergeCell ref="C162:C163"/>
    <mergeCell ref="D162:D163"/>
    <mergeCell ref="E162:E163"/>
    <mergeCell ref="F162:F163"/>
    <mergeCell ref="G162:J162"/>
    <mergeCell ref="K162:M162"/>
    <mergeCell ref="B167:C167"/>
    <mergeCell ref="G167:M167"/>
    <mergeCell ref="A168:A169"/>
    <mergeCell ref="B168:B169"/>
    <mergeCell ref="C168:C169"/>
    <mergeCell ref="D168:D169"/>
    <mergeCell ref="E168:E169"/>
    <mergeCell ref="F168:F169"/>
    <mergeCell ref="G168:J168"/>
    <mergeCell ref="K168:M168"/>
    <mergeCell ref="B173:C173"/>
    <mergeCell ref="G173:M173"/>
    <mergeCell ref="A174:A175"/>
    <mergeCell ref="B174:B175"/>
    <mergeCell ref="C174:C175"/>
    <mergeCell ref="D174:D175"/>
    <mergeCell ref="E174:E175"/>
    <mergeCell ref="F174:F175"/>
    <mergeCell ref="G174:J174"/>
    <mergeCell ref="K174:M174"/>
    <mergeCell ref="B194:C194"/>
    <mergeCell ref="G194:M194"/>
    <mergeCell ref="A195:A196"/>
    <mergeCell ref="B195:B196"/>
    <mergeCell ref="C195:C196"/>
    <mergeCell ref="D195:D196"/>
    <mergeCell ref="E195:E196"/>
    <mergeCell ref="F195:F196"/>
    <mergeCell ref="G195:J195"/>
    <mergeCell ref="K195:M195"/>
    <mergeCell ref="B225:C225"/>
    <mergeCell ref="G225:M225"/>
    <mergeCell ref="A226:A227"/>
    <mergeCell ref="B226:B227"/>
    <mergeCell ref="C226:C227"/>
    <mergeCell ref="D226:D227"/>
    <mergeCell ref="E226:E227"/>
    <mergeCell ref="F226:F227"/>
    <mergeCell ref="G226:J226"/>
    <mergeCell ref="K226:M226"/>
    <mergeCell ref="B236:C236"/>
    <mergeCell ref="G236:M236"/>
    <mergeCell ref="A237:A238"/>
    <mergeCell ref="B237:B238"/>
    <mergeCell ref="C237:C238"/>
    <mergeCell ref="D237:D238"/>
    <mergeCell ref="E237:E238"/>
    <mergeCell ref="F237:F238"/>
    <mergeCell ref="G237:J237"/>
    <mergeCell ref="K237:M237"/>
    <mergeCell ref="B243:C243"/>
    <mergeCell ref="G243:M243"/>
    <mergeCell ref="A244:A245"/>
    <mergeCell ref="B244:B245"/>
    <mergeCell ref="C244:C245"/>
    <mergeCell ref="D244:D245"/>
    <mergeCell ref="E244:E245"/>
    <mergeCell ref="F244:F245"/>
    <mergeCell ref="G244:J244"/>
    <mergeCell ref="K244:M244"/>
    <mergeCell ref="B248:C248"/>
    <mergeCell ref="G248:M248"/>
    <mergeCell ref="A249:A250"/>
    <mergeCell ref="B249:B250"/>
    <mergeCell ref="C249:C250"/>
    <mergeCell ref="D249:D250"/>
    <mergeCell ref="E249:E250"/>
    <mergeCell ref="F249:F250"/>
    <mergeCell ref="G249:J249"/>
    <mergeCell ref="K249:M249"/>
    <mergeCell ref="B255:C255"/>
    <mergeCell ref="G255:M255"/>
    <mergeCell ref="A256:A257"/>
    <mergeCell ref="B256:B257"/>
    <mergeCell ref="C256:C257"/>
    <mergeCell ref="D256:D257"/>
    <mergeCell ref="E256:E257"/>
    <mergeCell ref="F256:F257"/>
    <mergeCell ref="G256:J256"/>
    <mergeCell ref="K256:M256"/>
    <mergeCell ref="B262:C262"/>
    <mergeCell ref="G262:M262"/>
    <mergeCell ref="A263:A264"/>
    <mergeCell ref="B263:B264"/>
    <mergeCell ref="C263:C264"/>
    <mergeCell ref="D263:D264"/>
    <mergeCell ref="E263:E264"/>
    <mergeCell ref="F263:F264"/>
    <mergeCell ref="G263:J263"/>
    <mergeCell ref="K263:M263"/>
    <mergeCell ref="B267:C267"/>
    <mergeCell ref="G267:M267"/>
    <mergeCell ref="A268:A269"/>
    <mergeCell ref="B268:B269"/>
    <mergeCell ref="C268:C269"/>
    <mergeCell ref="D268:D269"/>
    <mergeCell ref="E268:E269"/>
    <mergeCell ref="F268:F269"/>
    <mergeCell ref="G268:J268"/>
    <mergeCell ref="K268:M268"/>
    <mergeCell ref="B272:C272"/>
    <mergeCell ref="G272:M272"/>
    <mergeCell ref="A273:A274"/>
    <mergeCell ref="B273:B274"/>
    <mergeCell ref="C273:C274"/>
    <mergeCell ref="D273:D274"/>
    <mergeCell ref="E273:E274"/>
    <mergeCell ref="F273:F274"/>
    <mergeCell ref="G273:J273"/>
    <mergeCell ref="K273:M273"/>
    <mergeCell ref="B279:C279"/>
    <mergeCell ref="G279:M279"/>
    <mergeCell ref="A280:A281"/>
    <mergeCell ref="B280:B281"/>
    <mergeCell ref="C280:C281"/>
    <mergeCell ref="D280:D281"/>
    <mergeCell ref="E280:E281"/>
    <mergeCell ref="F280:F281"/>
    <mergeCell ref="G280:J280"/>
    <mergeCell ref="K280:M280"/>
    <mergeCell ref="B286:C286"/>
    <mergeCell ref="G286:M286"/>
    <mergeCell ref="A287:A288"/>
    <mergeCell ref="B287:B288"/>
    <mergeCell ref="C287:C288"/>
    <mergeCell ref="D287:D288"/>
    <mergeCell ref="E287:E288"/>
    <mergeCell ref="F287:F288"/>
    <mergeCell ref="G287:J287"/>
    <mergeCell ref="K287:M287"/>
    <mergeCell ref="B293:C293"/>
    <mergeCell ref="G293:M293"/>
    <mergeCell ref="A294:A295"/>
    <mergeCell ref="B294:B295"/>
    <mergeCell ref="C294:C295"/>
    <mergeCell ref="D294:D295"/>
    <mergeCell ref="E294:E295"/>
    <mergeCell ref="F294:F295"/>
    <mergeCell ref="G294:J294"/>
    <mergeCell ref="K294:M294"/>
    <mergeCell ref="B297:C297"/>
    <mergeCell ref="G297:M297"/>
    <mergeCell ref="A298:A299"/>
    <mergeCell ref="B298:B299"/>
    <mergeCell ref="C298:C299"/>
    <mergeCell ref="D298:D299"/>
    <mergeCell ref="E298:E299"/>
    <mergeCell ref="F298:F299"/>
    <mergeCell ref="G298:J298"/>
    <mergeCell ref="K298:M298"/>
    <mergeCell ref="B301:C301"/>
    <mergeCell ref="G301:M301"/>
    <mergeCell ref="A302:A303"/>
    <mergeCell ref="B302:B303"/>
    <mergeCell ref="C302:C303"/>
    <mergeCell ref="D302:D303"/>
    <mergeCell ref="E302:E303"/>
    <mergeCell ref="F302:F303"/>
    <mergeCell ref="G302:J302"/>
    <mergeCell ref="K302:M302"/>
    <mergeCell ref="B305:C305"/>
    <mergeCell ref="G305:M305"/>
    <mergeCell ref="A306:A307"/>
    <mergeCell ref="B306:B307"/>
    <mergeCell ref="C306:C307"/>
    <mergeCell ref="D306:D307"/>
    <mergeCell ref="E306:E307"/>
    <mergeCell ref="F306:F307"/>
    <mergeCell ref="G306:J306"/>
    <mergeCell ref="K306:M306"/>
    <mergeCell ref="B309:C309"/>
    <mergeCell ref="G309:M309"/>
    <mergeCell ref="A310:A311"/>
    <mergeCell ref="B310:B311"/>
    <mergeCell ref="C310:C311"/>
    <mergeCell ref="D310:D311"/>
    <mergeCell ref="E310:E311"/>
    <mergeCell ref="F310:F311"/>
    <mergeCell ref="G310:J310"/>
    <mergeCell ref="K310:M310"/>
    <mergeCell ref="B323:C323"/>
    <mergeCell ref="G323:M323"/>
    <mergeCell ref="A324:A325"/>
    <mergeCell ref="B324:B325"/>
    <mergeCell ref="C324:C325"/>
    <mergeCell ref="D324:D325"/>
    <mergeCell ref="E324:E325"/>
    <mergeCell ref="F324:F325"/>
    <mergeCell ref="G324:J324"/>
    <mergeCell ref="K324:M324"/>
    <mergeCell ref="B340:C340"/>
    <mergeCell ref="G340:M340"/>
    <mergeCell ref="A341:A342"/>
    <mergeCell ref="B341:B342"/>
    <mergeCell ref="C341:C342"/>
    <mergeCell ref="D341:D342"/>
    <mergeCell ref="E341:E342"/>
    <mergeCell ref="F341:F342"/>
    <mergeCell ref="G341:J341"/>
    <mergeCell ref="K341:M341"/>
    <mergeCell ref="B351:C351"/>
    <mergeCell ref="G351:M351"/>
    <mergeCell ref="A352:A353"/>
    <mergeCell ref="B352:B353"/>
    <mergeCell ref="C352:C353"/>
    <mergeCell ref="D352:D353"/>
    <mergeCell ref="E352:E353"/>
    <mergeCell ref="F352:F353"/>
    <mergeCell ref="G352:J352"/>
    <mergeCell ref="K352:M352"/>
    <mergeCell ref="B368:C368"/>
    <mergeCell ref="G368:M368"/>
    <mergeCell ref="A369:A370"/>
    <mergeCell ref="B369:B370"/>
    <mergeCell ref="C369:C370"/>
    <mergeCell ref="D369:D370"/>
    <mergeCell ref="E369:E370"/>
    <mergeCell ref="F369:F370"/>
    <mergeCell ref="G369:J369"/>
    <mergeCell ref="K369:M369"/>
    <mergeCell ref="B390:C390"/>
    <mergeCell ref="G390:M390"/>
    <mergeCell ref="A391:A392"/>
    <mergeCell ref="B391:B392"/>
    <mergeCell ref="C391:C392"/>
    <mergeCell ref="D391:D392"/>
    <mergeCell ref="E391:E392"/>
    <mergeCell ref="F391:F392"/>
    <mergeCell ref="G391:J391"/>
    <mergeCell ref="K391:M391"/>
    <mergeCell ref="B397:C397"/>
    <mergeCell ref="G397:M397"/>
    <mergeCell ref="A398:A399"/>
    <mergeCell ref="B398:B399"/>
    <mergeCell ref="C398:C399"/>
    <mergeCell ref="D398:D399"/>
    <mergeCell ref="E398:E399"/>
    <mergeCell ref="F398:F399"/>
    <mergeCell ref="G398:J398"/>
    <mergeCell ref="K398:M398"/>
    <mergeCell ref="B404:C404"/>
    <mergeCell ref="G404:M404"/>
    <mergeCell ref="A405:A406"/>
    <mergeCell ref="B405:B406"/>
    <mergeCell ref="C405:C406"/>
    <mergeCell ref="D405:D406"/>
    <mergeCell ref="E405:E406"/>
    <mergeCell ref="F405:F406"/>
    <mergeCell ref="G405:J405"/>
    <mergeCell ref="K405:M405"/>
    <mergeCell ref="B426:C426"/>
    <mergeCell ref="G426:M426"/>
    <mergeCell ref="A427:A428"/>
    <mergeCell ref="B427:B428"/>
    <mergeCell ref="C427:C428"/>
    <mergeCell ref="D427:D428"/>
    <mergeCell ref="E427:E428"/>
    <mergeCell ref="F427:F428"/>
    <mergeCell ref="G427:J427"/>
    <mergeCell ref="K427:M427"/>
    <mergeCell ref="B438:C438"/>
    <mergeCell ref="G438:M438"/>
    <mergeCell ref="A439:A440"/>
    <mergeCell ref="B439:B440"/>
    <mergeCell ref="C439:C440"/>
    <mergeCell ref="D439:D440"/>
    <mergeCell ref="E439:E440"/>
    <mergeCell ref="F439:F440"/>
    <mergeCell ref="G439:J439"/>
    <mergeCell ref="K439:M439"/>
    <mergeCell ref="B449:C449"/>
    <mergeCell ref="G449:M449"/>
    <mergeCell ref="A450:A451"/>
    <mergeCell ref="B450:B451"/>
    <mergeCell ref="C450:C451"/>
    <mergeCell ref="D450:D451"/>
    <mergeCell ref="E450:E451"/>
    <mergeCell ref="F450:F451"/>
    <mergeCell ref="G450:J450"/>
    <mergeCell ref="K450:M450"/>
    <mergeCell ref="B474:C474"/>
    <mergeCell ref="G474:M474"/>
    <mergeCell ref="A475:A476"/>
    <mergeCell ref="B475:B476"/>
    <mergeCell ref="C475:C476"/>
    <mergeCell ref="D475:D476"/>
    <mergeCell ref="E475:E476"/>
    <mergeCell ref="F475:F476"/>
    <mergeCell ref="G475:J475"/>
    <mergeCell ref="K475:M475"/>
    <mergeCell ref="B483:C483"/>
    <mergeCell ref="G483:M483"/>
    <mergeCell ref="A484:A485"/>
    <mergeCell ref="B484:B485"/>
    <mergeCell ref="C484:C485"/>
    <mergeCell ref="D484:D485"/>
    <mergeCell ref="E484:E485"/>
    <mergeCell ref="F484:F485"/>
    <mergeCell ref="G484:J484"/>
    <mergeCell ref="K484:M484"/>
    <mergeCell ref="B490:C490"/>
    <mergeCell ref="G490:M490"/>
    <mergeCell ref="A491:A492"/>
    <mergeCell ref="B491:B492"/>
    <mergeCell ref="C491:C492"/>
    <mergeCell ref="D491:D492"/>
    <mergeCell ref="E491:E492"/>
    <mergeCell ref="F491:F492"/>
    <mergeCell ref="G491:J491"/>
    <mergeCell ref="K491:M491"/>
    <mergeCell ref="B496:C496"/>
    <mergeCell ref="G496:M496"/>
    <mergeCell ref="A497:A498"/>
    <mergeCell ref="B497:B498"/>
    <mergeCell ref="C497:C498"/>
    <mergeCell ref="D497:D498"/>
    <mergeCell ref="E497:E498"/>
    <mergeCell ref="F497:F498"/>
    <mergeCell ref="G497:J497"/>
    <mergeCell ref="K497:M497"/>
    <mergeCell ref="B500:C500"/>
    <mergeCell ref="G500:M500"/>
    <mergeCell ref="A501:A502"/>
    <mergeCell ref="B501:B502"/>
    <mergeCell ref="C501:C502"/>
    <mergeCell ref="D501:D502"/>
    <mergeCell ref="E501:E502"/>
    <mergeCell ref="F501:F502"/>
    <mergeCell ref="G501:J501"/>
    <mergeCell ref="K501:M501"/>
    <mergeCell ref="B508:C508"/>
    <mergeCell ref="G508:M508"/>
    <mergeCell ref="A509:A510"/>
    <mergeCell ref="B509:B510"/>
    <mergeCell ref="C509:C510"/>
    <mergeCell ref="D509:D510"/>
    <mergeCell ref="E509:E510"/>
    <mergeCell ref="F509:F510"/>
    <mergeCell ref="G509:J509"/>
    <mergeCell ref="K509:M509"/>
    <mergeCell ref="B515:C515"/>
    <mergeCell ref="G515:M515"/>
    <mergeCell ref="A516:A517"/>
    <mergeCell ref="B516:B517"/>
    <mergeCell ref="C516:C517"/>
    <mergeCell ref="D516:D517"/>
    <mergeCell ref="E516:E517"/>
    <mergeCell ref="F516:F517"/>
    <mergeCell ref="G516:J516"/>
    <mergeCell ref="K516:M516"/>
    <mergeCell ref="B519:C519"/>
    <mergeCell ref="G519:M519"/>
    <mergeCell ref="A520:A521"/>
    <mergeCell ref="B520:B521"/>
    <mergeCell ref="C520:C521"/>
    <mergeCell ref="D520:D521"/>
    <mergeCell ref="E520:E521"/>
    <mergeCell ref="F520:F521"/>
    <mergeCell ref="G520:J520"/>
    <mergeCell ref="K520:M520"/>
    <mergeCell ref="B526:C526"/>
    <mergeCell ref="G526:M526"/>
    <mergeCell ref="A527:A528"/>
    <mergeCell ref="B527:B528"/>
    <mergeCell ref="C527:C528"/>
    <mergeCell ref="D527:D528"/>
    <mergeCell ref="E527:E528"/>
    <mergeCell ref="F527:F528"/>
    <mergeCell ref="G527:J527"/>
    <mergeCell ref="K527:M527"/>
    <mergeCell ref="B531:C531"/>
    <mergeCell ref="G531:M531"/>
    <mergeCell ref="A532:A533"/>
    <mergeCell ref="B532:B533"/>
    <mergeCell ref="C532:C533"/>
    <mergeCell ref="D532:D533"/>
    <mergeCell ref="E532:E533"/>
    <mergeCell ref="F532:F533"/>
    <mergeCell ref="G532:J532"/>
    <mergeCell ref="K532:M532"/>
    <mergeCell ref="B538:C538"/>
    <mergeCell ref="G538:M538"/>
    <mergeCell ref="A539:A540"/>
    <mergeCell ref="B539:B540"/>
    <mergeCell ref="C539:C540"/>
    <mergeCell ref="D539:D540"/>
    <mergeCell ref="E539:E540"/>
    <mergeCell ref="F539:F540"/>
    <mergeCell ref="G539:J539"/>
    <mergeCell ref="K539:M539"/>
    <mergeCell ref="B542:C542"/>
    <mergeCell ref="G542:M542"/>
    <mergeCell ref="A543:A544"/>
    <mergeCell ref="B543:B544"/>
    <mergeCell ref="C543:C544"/>
    <mergeCell ref="D543:D544"/>
    <mergeCell ref="E543:E544"/>
    <mergeCell ref="F543:F544"/>
    <mergeCell ref="G543:J543"/>
    <mergeCell ref="K543:M543"/>
    <mergeCell ref="B581:C581"/>
    <mergeCell ref="G581:M581"/>
    <mergeCell ref="A582:A583"/>
    <mergeCell ref="B582:B583"/>
    <mergeCell ref="C582:C583"/>
    <mergeCell ref="D582:D583"/>
    <mergeCell ref="E582:E583"/>
    <mergeCell ref="F582:F583"/>
    <mergeCell ref="G582:J582"/>
    <mergeCell ref="K582:M582"/>
    <mergeCell ref="B592:C592"/>
    <mergeCell ref="G592:M592"/>
    <mergeCell ref="A593:A594"/>
    <mergeCell ref="B593:B594"/>
    <mergeCell ref="C593:C594"/>
    <mergeCell ref="D593:D594"/>
    <mergeCell ref="E593:E594"/>
    <mergeCell ref="F593:F594"/>
    <mergeCell ref="G593:J593"/>
    <mergeCell ref="K593:M593"/>
    <mergeCell ref="B627:C627"/>
    <mergeCell ref="G627:M627"/>
    <mergeCell ref="A628:A629"/>
    <mergeCell ref="B628:B629"/>
    <mergeCell ref="C628:C629"/>
    <mergeCell ref="D628:D629"/>
    <mergeCell ref="E628:E629"/>
    <mergeCell ref="F628:F629"/>
    <mergeCell ref="G628:J628"/>
    <mergeCell ref="K628:M628"/>
    <mergeCell ref="B634:C634"/>
    <mergeCell ref="G634:M634"/>
    <mergeCell ref="A635:A636"/>
    <mergeCell ref="B635:B636"/>
    <mergeCell ref="C635:C636"/>
    <mergeCell ref="D635:D636"/>
    <mergeCell ref="E635:E636"/>
    <mergeCell ref="F635:F636"/>
    <mergeCell ref="G635:J635"/>
    <mergeCell ref="K635:M635"/>
    <mergeCell ref="B641:C641"/>
    <mergeCell ref="G641:M641"/>
    <mergeCell ref="A642:A643"/>
    <mergeCell ref="B642:B643"/>
    <mergeCell ref="C642:C643"/>
    <mergeCell ref="D642:D643"/>
    <mergeCell ref="E642:E643"/>
    <mergeCell ref="F642:F643"/>
    <mergeCell ref="G642:J642"/>
    <mergeCell ref="K642:M642"/>
    <mergeCell ref="B645:C645"/>
    <mergeCell ref="G645:M645"/>
    <mergeCell ref="A646:A647"/>
    <mergeCell ref="B646:B647"/>
    <mergeCell ref="C646:C647"/>
    <mergeCell ref="D646:D647"/>
    <mergeCell ref="E646:E647"/>
    <mergeCell ref="F646:F647"/>
    <mergeCell ref="G646:J646"/>
    <mergeCell ref="K646:M646"/>
    <mergeCell ref="B652:C652"/>
    <mergeCell ref="G652:M652"/>
    <mergeCell ref="A653:A654"/>
    <mergeCell ref="B653:B654"/>
    <mergeCell ref="C653:C654"/>
    <mergeCell ref="D653:D654"/>
    <mergeCell ref="E653:E654"/>
    <mergeCell ref="F653:F654"/>
    <mergeCell ref="G653:J653"/>
    <mergeCell ref="K653:M653"/>
    <mergeCell ref="B659:C659"/>
    <mergeCell ref="G659:M659"/>
    <mergeCell ref="A660:A661"/>
    <mergeCell ref="B660:B661"/>
    <mergeCell ref="C660:C661"/>
    <mergeCell ref="D660:D661"/>
    <mergeCell ref="E660:E661"/>
    <mergeCell ref="F660:F661"/>
    <mergeCell ref="G660:J660"/>
    <mergeCell ref="K660:M660"/>
  </mergeCells>
  <phoneticPr fontId="18" type="noConversion"/>
  <pageMargins left="0.7086111307144165" right="0.7086111307144165" top="0.74750000238418579" bottom="0.74750000238418579" header="0.31486111879348755" footer="0.31486111879348755"/>
  <pageSetup paperSize="9" scale="28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W519"/>
  <sheetViews>
    <sheetView zoomScale="90" zoomScaleNormal="90" zoomScaleSheetLayoutView="90" workbookViewId="0">
      <selection activeCell="F8" sqref="F8"/>
    </sheetView>
  </sheetViews>
  <sheetFormatPr defaultColWidth="8.6640625" defaultRowHeight="12.75" x14ac:dyDescent="0.15"/>
  <cols>
    <col min="1" max="1" width="6.5546875" style="64" customWidth="1"/>
    <col min="2" max="2" width="6.77734375" style="64" customWidth="1"/>
    <col min="3" max="3" width="10.5546875" style="64" customWidth="1"/>
    <col min="4" max="4" width="10.88671875" style="64" bestFit="1" customWidth="1"/>
    <col min="5" max="5" width="10.88671875" style="64" customWidth="1"/>
    <col min="6" max="6" width="18.109375" style="64" customWidth="1"/>
    <col min="7" max="7" width="16.44140625" style="64" customWidth="1"/>
    <col min="8" max="8" width="30" style="64" bestFit="1" customWidth="1"/>
    <col min="9" max="9" width="17.44140625" style="64" customWidth="1"/>
    <col min="10" max="10" width="18.109375" style="64" customWidth="1"/>
    <col min="11" max="11" width="15.77734375" style="64" customWidth="1"/>
    <col min="12" max="12" width="34.6640625" style="64" customWidth="1"/>
    <col min="13" max="13" width="11.33203125" style="64" customWidth="1"/>
    <col min="14" max="14" width="18.109375" style="64" customWidth="1"/>
    <col min="15" max="15" width="13" style="64" customWidth="1"/>
    <col min="16" max="16" width="18.109375" style="64" customWidth="1"/>
    <col min="17" max="17" width="17.77734375" style="64" customWidth="1"/>
    <col min="18" max="18" width="42.21875" style="64" customWidth="1"/>
    <col min="19" max="19" width="11.88671875" style="64" customWidth="1"/>
    <col min="20" max="20" width="18.109375" style="64" customWidth="1"/>
    <col min="21" max="21" width="8.88671875" style="64" bestFit="1" customWidth="1"/>
    <col min="22" max="22" width="8.109375" style="64" customWidth="1"/>
    <col min="23" max="23" width="21" style="64" customWidth="1"/>
    <col min="24" max="16384" width="8.6640625" style="64"/>
  </cols>
  <sheetData>
    <row r="1" spans="1:23" x14ac:dyDescent="0.15">
      <c r="A1" s="207" t="s">
        <v>1925</v>
      </c>
      <c r="B1" s="208"/>
      <c r="C1" s="208"/>
      <c r="D1" s="208"/>
      <c r="E1" s="208"/>
      <c r="F1" s="208"/>
      <c r="G1" s="208"/>
      <c r="H1" s="208"/>
      <c r="I1" s="208"/>
      <c r="J1" s="208"/>
      <c r="K1" s="208"/>
      <c r="L1" s="208"/>
      <c r="M1" s="208"/>
      <c r="N1" s="208"/>
      <c r="O1" s="208"/>
      <c r="P1" s="208"/>
      <c r="Q1" s="208"/>
      <c r="R1" s="208"/>
      <c r="S1" s="208"/>
      <c r="T1" s="208"/>
      <c r="U1" s="208"/>
    </row>
    <row r="2" spans="1:23" x14ac:dyDescent="0.15">
      <c r="A2" s="203" t="s">
        <v>1592</v>
      </c>
      <c r="B2" s="203"/>
      <c r="C2" s="203"/>
      <c r="D2" s="204" t="s">
        <v>2651</v>
      </c>
      <c r="E2" s="204"/>
      <c r="F2" s="204"/>
      <c r="G2" s="204"/>
      <c r="H2" s="203" t="s">
        <v>1010</v>
      </c>
      <c r="I2" s="203"/>
      <c r="J2" s="209" t="s">
        <v>1957</v>
      </c>
      <c r="K2" s="209"/>
      <c r="L2" s="209"/>
      <c r="M2" s="209"/>
      <c r="N2" s="209"/>
      <c r="O2" s="209"/>
      <c r="P2" s="209"/>
      <c r="Q2" s="209"/>
      <c r="R2" s="209"/>
      <c r="S2" s="209"/>
      <c r="T2" s="209"/>
      <c r="U2" s="209"/>
      <c r="V2" s="209"/>
      <c r="W2" s="209"/>
    </row>
    <row r="3" spans="1:23" x14ac:dyDescent="0.15">
      <c r="A3" s="203" t="s">
        <v>1582</v>
      </c>
      <c r="B3" s="203"/>
      <c r="C3" s="203"/>
      <c r="D3" s="204" t="s">
        <v>639</v>
      </c>
      <c r="E3" s="204"/>
      <c r="F3" s="204"/>
      <c r="G3" s="204"/>
      <c r="H3" s="203" t="s">
        <v>928</v>
      </c>
      <c r="I3" s="203"/>
      <c r="J3" s="205">
        <v>43095</v>
      </c>
      <c r="K3" s="205"/>
      <c r="L3" s="205"/>
      <c r="M3" s="205"/>
      <c r="N3" s="205"/>
      <c r="O3" s="205"/>
      <c r="P3" s="205"/>
      <c r="Q3" s="205"/>
      <c r="R3" s="205"/>
      <c r="S3" s="205"/>
      <c r="T3" s="205"/>
      <c r="U3" s="205"/>
      <c r="V3" s="205"/>
      <c r="W3" s="205"/>
    </row>
    <row r="4" spans="1:23" x14ac:dyDescent="0.15">
      <c r="A4" s="206"/>
      <c r="B4" s="206"/>
      <c r="C4" s="206"/>
      <c r="D4" s="206"/>
      <c r="E4" s="206"/>
      <c r="F4" s="206"/>
      <c r="G4" s="206"/>
      <c r="H4" s="206"/>
      <c r="I4" s="206"/>
      <c r="J4" s="206"/>
      <c r="K4" s="206"/>
      <c r="L4" s="206"/>
      <c r="M4" s="206"/>
      <c r="N4" s="206"/>
      <c r="O4" s="206"/>
      <c r="P4" s="206"/>
      <c r="Q4" s="206"/>
      <c r="R4" s="206"/>
      <c r="S4" s="206"/>
      <c r="T4" s="206"/>
      <c r="U4" s="206"/>
    </row>
    <row r="5" spans="1:23" x14ac:dyDescent="0.15">
      <c r="A5" s="193" t="s">
        <v>1564</v>
      </c>
      <c r="B5" s="194"/>
      <c r="C5" s="195"/>
      <c r="D5" s="191" t="s">
        <v>996</v>
      </c>
      <c r="E5" s="202"/>
      <c r="F5" s="202"/>
      <c r="G5" s="191" t="s">
        <v>1565</v>
      </c>
      <c r="H5" s="202"/>
      <c r="I5" s="190" t="s">
        <v>1598</v>
      </c>
      <c r="J5" s="190"/>
      <c r="K5" s="190"/>
      <c r="L5" s="190"/>
      <c r="M5" s="190"/>
      <c r="N5" s="190"/>
      <c r="O5" s="190"/>
      <c r="P5" s="190"/>
      <c r="Q5" s="190" t="s">
        <v>1920</v>
      </c>
      <c r="R5" s="190"/>
      <c r="S5" s="190"/>
      <c r="T5" s="190"/>
      <c r="U5" s="187" t="s">
        <v>979</v>
      </c>
      <c r="V5" s="187" t="s">
        <v>1574</v>
      </c>
      <c r="W5" s="187" t="s">
        <v>1567</v>
      </c>
    </row>
    <row r="6" spans="1:23" x14ac:dyDescent="0.15">
      <c r="A6" s="196"/>
      <c r="B6" s="197"/>
      <c r="C6" s="198"/>
      <c r="D6" s="190" t="s">
        <v>967</v>
      </c>
      <c r="E6" s="190"/>
      <c r="F6" s="190"/>
      <c r="G6" s="190" t="s">
        <v>1945</v>
      </c>
      <c r="H6" s="190"/>
      <c r="I6" s="191" t="s">
        <v>932</v>
      </c>
      <c r="J6" s="192"/>
      <c r="K6" s="191" t="s">
        <v>953</v>
      </c>
      <c r="L6" s="192"/>
      <c r="M6" s="191" t="s">
        <v>942</v>
      </c>
      <c r="N6" s="192"/>
      <c r="O6" s="191" t="s">
        <v>950</v>
      </c>
      <c r="P6" s="192"/>
      <c r="Q6" s="191" t="s">
        <v>1020</v>
      </c>
      <c r="R6" s="192"/>
      <c r="S6" s="190" t="s">
        <v>989</v>
      </c>
      <c r="T6" s="190"/>
      <c r="U6" s="188"/>
      <c r="V6" s="188"/>
      <c r="W6" s="188"/>
    </row>
    <row r="7" spans="1:23" x14ac:dyDescent="0.15">
      <c r="A7" s="199"/>
      <c r="B7" s="200"/>
      <c r="C7" s="201"/>
      <c r="D7" s="65" t="s">
        <v>1002</v>
      </c>
      <c r="E7" s="65" t="s">
        <v>995</v>
      </c>
      <c r="F7" s="65" t="s">
        <v>975</v>
      </c>
      <c r="G7" s="65" t="s">
        <v>963</v>
      </c>
      <c r="H7" s="65" t="s">
        <v>936</v>
      </c>
      <c r="I7" s="65" t="s">
        <v>919</v>
      </c>
      <c r="J7" s="65" t="s">
        <v>1583</v>
      </c>
      <c r="K7" s="65" t="s">
        <v>946</v>
      </c>
      <c r="L7" s="66" t="s">
        <v>1559</v>
      </c>
      <c r="M7" s="65" t="s">
        <v>985</v>
      </c>
      <c r="N7" s="65" t="s">
        <v>970</v>
      </c>
      <c r="O7" s="66" t="s">
        <v>918</v>
      </c>
      <c r="P7" s="66" t="s">
        <v>1019</v>
      </c>
      <c r="Q7" s="65" t="s">
        <v>935</v>
      </c>
      <c r="R7" s="66" t="s">
        <v>1011</v>
      </c>
      <c r="S7" s="65" t="s">
        <v>949</v>
      </c>
      <c r="T7" s="65" t="s">
        <v>1005</v>
      </c>
      <c r="U7" s="189"/>
      <c r="V7" s="189"/>
      <c r="W7" s="189"/>
    </row>
    <row r="8" spans="1:23" ht="14.25" customHeight="1" x14ac:dyDescent="0.15">
      <c r="A8" s="181" t="s">
        <v>110</v>
      </c>
      <c r="B8" s="165" t="s">
        <v>224</v>
      </c>
      <c r="C8" s="171" t="s">
        <v>1321</v>
      </c>
      <c r="D8" s="67" t="s">
        <v>1568</v>
      </c>
      <c r="E8" s="68" t="s">
        <v>2370</v>
      </c>
      <c r="F8" s="68" t="s">
        <v>1432</v>
      </c>
      <c r="G8" s="69" t="s">
        <v>1522</v>
      </c>
      <c r="H8" s="69" t="s">
        <v>538</v>
      </c>
      <c r="I8" s="184" t="s">
        <v>915</v>
      </c>
      <c r="J8" s="185"/>
      <c r="K8" s="185"/>
      <c r="L8" s="185"/>
      <c r="M8" s="185"/>
      <c r="N8" s="186"/>
      <c r="O8" s="70" t="s">
        <v>849</v>
      </c>
      <c r="P8" s="70" t="s">
        <v>1432</v>
      </c>
      <c r="Q8" s="69" t="s">
        <v>635</v>
      </c>
      <c r="R8" s="69" t="s">
        <v>2636</v>
      </c>
      <c r="S8" s="69"/>
      <c r="T8" s="69"/>
      <c r="U8" s="69" t="s">
        <v>1556</v>
      </c>
      <c r="V8" s="71" t="s">
        <v>1572</v>
      </c>
      <c r="W8" s="72"/>
    </row>
    <row r="9" spans="1:23" ht="25.5" x14ac:dyDescent="0.15">
      <c r="A9" s="182"/>
      <c r="B9" s="166"/>
      <c r="C9" s="171"/>
      <c r="D9" s="67" t="s">
        <v>1568</v>
      </c>
      <c r="E9" s="68" t="s">
        <v>1903</v>
      </c>
      <c r="F9" s="68" t="s">
        <v>1240</v>
      </c>
      <c r="G9" s="69" t="s">
        <v>1522</v>
      </c>
      <c r="H9" s="69" t="s">
        <v>538</v>
      </c>
      <c r="I9" s="184" t="s">
        <v>915</v>
      </c>
      <c r="J9" s="185"/>
      <c r="K9" s="185"/>
      <c r="L9" s="185"/>
      <c r="M9" s="185"/>
      <c r="N9" s="186"/>
      <c r="O9" s="70" t="s">
        <v>849</v>
      </c>
      <c r="P9" s="70" t="s">
        <v>1240</v>
      </c>
      <c r="Q9" s="69" t="s">
        <v>635</v>
      </c>
      <c r="R9" s="69" t="s">
        <v>2636</v>
      </c>
      <c r="S9" s="69"/>
      <c r="T9" s="69"/>
      <c r="U9" s="69" t="s">
        <v>1556</v>
      </c>
      <c r="V9" s="71" t="s">
        <v>1572</v>
      </c>
      <c r="W9" s="72"/>
    </row>
    <row r="10" spans="1:23" ht="25.5" x14ac:dyDescent="0.15">
      <c r="A10" s="182"/>
      <c r="B10" s="166"/>
      <c r="C10" s="171"/>
      <c r="D10" s="67" t="s">
        <v>1568</v>
      </c>
      <c r="E10" s="68" t="s">
        <v>1733</v>
      </c>
      <c r="F10" s="68" t="s">
        <v>263</v>
      </c>
      <c r="G10" s="69" t="s">
        <v>1522</v>
      </c>
      <c r="H10" s="69" t="s">
        <v>538</v>
      </c>
      <c r="I10" s="184" t="s">
        <v>915</v>
      </c>
      <c r="J10" s="185"/>
      <c r="K10" s="185"/>
      <c r="L10" s="185"/>
      <c r="M10" s="185"/>
      <c r="N10" s="186"/>
      <c r="O10" s="70" t="s">
        <v>849</v>
      </c>
      <c r="P10" s="70" t="s">
        <v>263</v>
      </c>
      <c r="Q10" s="69" t="s">
        <v>635</v>
      </c>
      <c r="R10" s="69" t="s">
        <v>2636</v>
      </c>
      <c r="S10" s="69"/>
      <c r="T10" s="69"/>
      <c r="U10" s="69" t="s">
        <v>1556</v>
      </c>
      <c r="V10" s="71" t="s">
        <v>1572</v>
      </c>
      <c r="W10" s="72"/>
    </row>
    <row r="11" spans="1:23" ht="25.5" x14ac:dyDescent="0.15">
      <c r="A11" s="182"/>
      <c r="B11" s="166"/>
      <c r="C11" s="171"/>
      <c r="D11" s="67" t="s">
        <v>1568</v>
      </c>
      <c r="E11" s="68" t="s">
        <v>1963</v>
      </c>
      <c r="F11" s="68" t="s">
        <v>308</v>
      </c>
      <c r="G11" s="69" t="s">
        <v>1522</v>
      </c>
      <c r="H11" s="69" t="s">
        <v>538</v>
      </c>
      <c r="I11" s="184" t="s">
        <v>915</v>
      </c>
      <c r="J11" s="185"/>
      <c r="K11" s="185"/>
      <c r="L11" s="185"/>
      <c r="M11" s="185"/>
      <c r="N11" s="186"/>
      <c r="O11" s="70" t="s">
        <v>849</v>
      </c>
      <c r="P11" s="70" t="s">
        <v>308</v>
      </c>
      <c r="Q11" s="69" t="s">
        <v>635</v>
      </c>
      <c r="R11" s="69" t="s">
        <v>2636</v>
      </c>
      <c r="S11" s="69"/>
      <c r="T11" s="69"/>
      <c r="U11" s="69" t="s">
        <v>1556</v>
      </c>
      <c r="V11" s="71" t="s">
        <v>1572</v>
      </c>
      <c r="W11" s="72"/>
    </row>
    <row r="12" spans="1:23" ht="51" x14ac:dyDescent="0.15">
      <c r="A12" s="182"/>
      <c r="B12" s="166"/>
      <c r="C12" s="171"/>
      <c r="D12" s="67" t="s">
        <v>1568</v>
      </c>
      <c r="E12" s="68" t="s">
        <v>1887</v>
      </c>
      <c r="F12" s="68" t="s">
        <v>471</v>
      </c>
      <c r="G12" s="69" t="s">
        <v>1522</v>
      </c>
      <c r="H12" s="69" t="s">
        <v>538</v>
      </c>
      <c r="I12" s="184" t="s">
        <v>915</v>
      </c>
      <c r="J12" s="185"/>
      <c r="K12" s="185"/>
      <c r="L12" s="185"/>
      <c r="M12" s="185"/>
      <c r="N12" s="186"/>
      <c r="O12" s="70" t="s">
        <v>849</v>
      </c>
      <c r="P12" s="70" t="s">
        <v>471</v>
      </c>
      <c r="Q12" s="69" t="s">
        <v>635</v>
      </c>
      <c r="R12" s="69" t="s">
        <v>2636</v>
      </c>
      <c r="S12" s="69"/>
      <c r="T12" s="69"/>
      <c r="U12" s="69" t="s">
        <v>1556</v>
      </c>
      <c r="V12" s="71" t="s">
        <v>1572</v>
      </c>
      <c r="W12" s="72"/>
    </row>
    <row r="13" spans="1:23" ht="25.5" x14ac:dyDescent="0.15">
      <c r="A13" s="182"/>
      <c r="B13" s="166"/>
      <c r="C13" s="171"/>
      <c r="D13" s="67" t="s">
        <v>1568</v>
      </c>
      <c r="E13" s="68" t="s">
        <v>1940</v>
      </c>
      <c r="F13" s="68" t="s">
        <v>171</v>
      </c>
      <c r="G13" s="69" t="s">
        <v>1522</v>
      </c>
      <c r="H13" s="69" t="s">
        <v>538</v>
      </c>
      <c r="I13" s="73" t="s">
        <v>1473</v>
      </c>
      <c r="J13" s="73" t="s">
        <v>1760</v>
      </c>
      <c r="K13" s="69" t="s">
        <v>580</v>
      </c>
      <c r="L13" s="69" t="s">
        <v>1242</v>
      </c>
      <c r="M13" s="69" t="s">
        <v>533</v>
      </c>
      <c r="N13" s="69" t="s">
        <v>1242</v>
      </c>
      <c r="O13" s="69" t="s">
        <v>849</v>
      </c>
      <c r="P13" s="69" t="s">
        <v>171</v>
      </c>
      <c r="Q13" s="69" t="s">
        <v>635</v>
      </c>
      <c r="R13" s="69" t="s">
        <v>2636</v>
      </c>
      <c r="S13" s="69"/>
      <c r="T13" s="69"/>
      <c r="U13" s="69" t="s">
        <v>1556</v>
      </c>
      <c r="V13" s="71" t="s">
        <v>1572</v>
      </c>
      <c r="W13" s="72"/>
    </row>
    <row r="14" spans="1:23" ht="25.5" x14ac:dyDescent="0.15">
      <c r="A14" s="182"/>
      <c r="B14" s="166"/>
      <c r="C14" s="171"/>
      <c r="D14" s="67" t="s">
        <v>939</v>
      </c>
      <c r="E14" s="68" t="s">
        <v>1891</v>
      </c>
      <c r="F14" s="68" t="s">
        <v>317</v>
      </c>
      <c r="G14" s="69" t="s">
        <v>632</v>
      </c>
      <c r="H14" s="69" t="s">
        <v>1864</v>
      </c>
      <c r="I14" s="73" t="s">
        <v>1473</v>
      </c>
      <c r="J14" s="73" t="s">
        <v>1760</v>
      </c>
      <c r="K14" s="69" t="s">
        <v>580</v>
      </c>
      <c r="L14" s="69" t="s">
        <v>1242</v>
      </c>
      <c r="M14" s="69" t="s">
        <v>533</v>
      </c>
      <c r="N14" s="69" t="s">
        <v>1242</v>
      </c>
      <c r="O14" s="69" t="s">
        <v>1455</v>
      </c>
      <c r="P14" s="69" t="s">
        <v>317</v>
      </c>
      <c r="Q14" s="69" t="s">
        <v>1404</v>
      </c>
      <c r="R14" s="69" t="s">
        <v>128</v>
      </c>
      <c r="S14" s="69"/>
      <c r="T14" s="69"/>
      <c r="U14" s="69" t="s">
        <v>1556</v>
      </c>
      <c r="V14" s="71" t="s">
        <v>1572</v>
      </c>
      <c r="W14" s="72"/>
    </row>
    <row r="15" spans="1:23" ht="25.5" x14ac:dyDescent="0.15">
      <c r="A15" s="182"/>
      <c r="B15" s="166"/>
      <c r="C15" s="171"/>
      <c r="D15" s="67" t="s">
        <v>939</v>
      </c>
      <c r="E15" s="68" t="s">
        <v>1740</v>
      </c>
      <c r="F15" s="68" t="s">
        <v>335</v>
      </c>
      <c r="G15" s="69" t="s">
        <v>632</v>
      </c>
      <c r="H15" s="69" t="s">
        <v>1864</v>
      </c>
      <c r="I15" s="73" t="s">
        <v>1473</v>
      </c>
      <c r="J15" s="73" t="s">
        <v>1760</v>
      </c>
      <c r="K15" s="69" t="s">
        <v>580</v>
      </c>
      <c r="L15" s="69" t="s">
        <v>1242</v>
      </c>
      <c r="M15" s="69" t="s">
        <v>533</v>
      </c>
      <c r="N15" s="69" t="s">
        <v>1242</v>
      </c>
      <c r="O15" s="69" t="s">
        <v>1455</v>
      </c>
      <c r="P15" s="69" t="s">
        <v>335</v>
      </c>
      <c r="Q15" s="69" t="s">
        <v>1404</v>
      </c>
      <c r="R15" s="69" t="s">
        <v>128</v>
      </c>
      <c r="S15" s="69"/>
      <c r="T15" s="69"/>
      <c r="U15" s="69" t="s">
        <v>1556</v>
      </c>
      <c r="V15" s="71" t="s">
        <v>1572</v>
      </c>
      <c r="W15" s="72"/>
    </row>
    <row r="16" spans="1:23" ht="25.5" x14ac:dyDescent="0.15">
      <c r="A16" s="182"/>
      <c r="B16" s="166"/>
      <c r="C16" s="171"/>
      <c r="D16" s="67" t="s">
        <v>939</v>
      </c>
      <c r="E16" s="68" t="s">
        <v>1978</v>
      </c>
      <c r="F16" s="68" t="s">
        <v>2632</v>
      </c>
      <c r="G16" s="69" t="s">
        <v>632</v>
      </c>
      <c r="H16" s="69" t="s">
        <v>1864</v>
      </c>
      <c r="I16" s="73" t="s">
        <v>1473</v>
      </c>
      <c r="J16" s="73" t="s">
        <v>1760</v>
      </c>
      <c r="K16" s="69" t="s">
        <v>580</v>
      </c>
      <c r="L16" s="69" t="s">
        <v>1242</v>
      </c>
      <c r="M16" s="69" t="s">
        <v>533</v>
      </c>
      <c r="N16" s="69" t="s">
        <v>1242</v>
      </c>
      <c r="O16" s="69" t="s">
        <v>1455</v>
      </c>
      <c r="P16" s="69" t="s">
        <v>2632</v>
      </c>
      <c r="Q16" s="69" t="s">
        <v>1404</v>
      </c>
      <c r="R16" s="69" t="s">
        <v>128</v>
      </c>
      <c r="S16" s="69"/>
      <c r="T16" s="69"/>
      <c r="U16" s="69" t="s">
        <v>1556</v>
      </c>
      <c r="V16" s="71" t="s">
        <v>1572</v>
      </c>
      <c r="W16" s="72"/>
    </row>
    <row r="17" spans="1:23" ht="25.5" x14ac:dyDescent="0.15">
      <c r="A17" s="182"/>
      <c r="B17" s="166"/>
      <c r="C17" s="171"/>
      <c r="D17" s="67" t="s">
        <v>1568</v>
      </c>
      <c r="E17" s="68" t="s">
        <v>1752</v>
      </c>
      <c r="F17" s="68" t="s">
        <v>176</v>
      </c>
      <c r="G17" s="69" t="s">
        <v>1522</v>
      </c>
      <c r="H17" s="69" t="s">
        <v>538</v>
      </c>
      <c r="I17" s="73" t="s">
        <v>1473</v>
      </c>
      <c r="J17" s="73" t="s">
        <v>1760</v>
      </c>
      <c r="K17" s="69" t="s">
        <v>580</v>
      </c>
      <c r="L17" s="69" t="s">
        <v>1242</v>
      </c>
      <c r="M17" s="69" t="s">
        <v>533</v>
      </c>
      <c r="N17" s="69" t="s">
        <v>1242</v>
      </c>
      <c r="O17" s="69" t="s">
        <v>1455</v>
      </c>
      <c r="P17" s="69" t="s">
        <v>176</v>
      </c>
      <c r="Q17" s="69" t="s">
        <v>1404</v>
      </c>
      <c r="R17" s="69" t="s">
        <v>128</v>
      </c>
      <c r="S17" s="69"/>
      <c r="T17" s="69"/>
      <c r="U17" s="69" t="s">
        <v>1556</v>
      </c>
      <c r="V17" s="71" t="s">
        <v>1572</v>
      </c>
      <c r="W17" s="72"/>
    </row>
    <row r="18" spans="1:23" ht="25.5" x14ac:dyDescent="0.15">
      <c r="A18" s="182"/>
      <c r="B18" s="166"/>
      <c r="C18" s="171" t="s">
        <v>923</v>
      </c>
      <c r="D18" s="67" t="s">
        <v>1568</v>
      </c>
      <c r="E18" s="68" t="s">
        <v>1873</v>
      </c>
      <c r="F18" s="68" t="s">
        <v>1531</v>
      </c>
      <c r="G18" s="69" t="s">
        <v>551</v>
      </c>
      <c r="H18" s="69" t="s">
        <v>1531</v>
      </c>
      <c r="I18" s="73" t="s">
        <v>827</v>
      </c>
      <c r="J18" s="73" t="s">
        <v>1837</v>
      </c>
      <c r="K18" s="69" t="s">
        <v>1430</v>
      </c>
      <c r="L18" s="69" t="s">
        <v>1521</v>
      </c>
      <c r="M18" s="69" t="s">
        <v>848</v>
      </c>
      <c r="N18" s="69" t="s">
        <v>1531</v>
      </c>
      <c r="O18" s="69" t="s">
        <v>1495</v>
      </c>
      <c r="P18" s="69" t="s">
        <v>1531</v>
      </c>
      <c r="Q18" s="69" t="s">
        <v>1448</v>
      </c>
      <c r="R18" s="69" t="s">
        <v>1188</v>
      </c>
      <c r="S18" s="69"/>
      <c r="T18" s="69"/>
      <c r="U18" s="69" t="s">
        <v>1591</v>
      </c>
      <c r="V18" s="71" t="s">
        <v>1572</v>
      </c>
      <c r="W18" s="72"/>
    </row>
    <row r="19" spans="1:23" ht="25.5" x14ac:dyDescent="0.15">
      <c r="A19" s="182"/>
      <c r="B19" s="166"/>
      <c r="C19" s="171"/>
      <c r="D19" s="67" t="s">
        <v>1568</v>
      </c>
      <c r="E19" s="68" t="s">
        <v>1956</v>
      </c>
      <c r="F19" s="68" t="s">
        <v>1124</v>
      </c>
      <c r="G19" s="69" t="s">
        <v>551</v>
      </c>
      <c r="H19" s="69" t="s">
        <v>1531</v>
      </c>
      <c r="I19" s="73" t="s">
        <v>827</v>
      </c>
      <c r="J19" s="73" t="s">
        <v>1837</v>
      </c>
      <c r="K19" s="69" t="s">
        <v>1430</v>
      </c>
      <c r="L19" s="69" t="s">
        <v>1521</v>
      </c>
      <c r="M19" s="69" t="s">
        <v>848</v>
      </c>
      <c r="N19" s="69" t="s">
        <v>1531</v>
      </c>
      <c r="O19" s="69" t="s">
        <v>1495</v>
      </c>
      <c r="P19" s="69" t="s">
        <v>1124</v>
      </c>
      <c r="Q19" s="69" t="s">
        <v>1448</v>
      </c>
      <c r="R19" s="69" t="s">
        <v>1188</v>
      </c>
      <c r="S19" s="69"/>
      <c r="T19" s="69"/>
      <c r="U19" s="69" t="s">
        <v>1556</v>
      </c>
      <c r="V19" s="71" t="s">
        <v>1572</v>
      </c>
      <c r="W19" s="72"/>
    </row>
    <row r="20" spans="1:23" ht="25.5" x14ac:dyDescent="0.15">
      <c r="A20" s="182"/>
      <c r="B20" s="166"/>
      <c r="C20" s="171"/>
      <c r="D20" s="67" t="s">
        <v>1568</v>
      </c>
      <c r="E20" s="68" t="s">
        <v>1936</v>
      </c>
      <c r="F20" s="68" t="s">
        <v>1118</v>
      </c>
      <c r="G20" s="69" t="s">
        <v>551</v>
      </c>
      <c r="H20" s="69" t="s">
        <v>1531</v>
      </c>
      <c r="I20" s="73" t="s">
        <v>827</v>
      </c>
      <c r="J20" s="73" t="s">
        <v>1837</v>
      </c>
      <c r="K20" s="69" t="s">
        <v>1430</v>
      </c>
      <c r="L20" s="69" t="s">
        <v>1521</v>
      </c>
      <c r="M20" s="69" t="s">
        <v>848</v>
      </c>
      <c r="N20" s="69" t="s">
        <v>1531</v>
      </c>
      <c r="O20" s="69" t="s">
        <v>1495</v>
      </c>
      <c r="P20" s="69" t="s">
        <v>1118</v>
      </c>
      <c r="Q20" s="69" t="s">
        <v>1448</v>
      </c>
      <c r="R20" s="69" t="s">
        <v>1188</v>
      </c>
      <c r="S20" s="69"/>
      <c r="T20" s="69"/>
      <c r="U20" s="69" t="s">
        <v>1556</v>
      </c>
      <c r="V20" s="71" t="s">
        <v>1572</v>
      </c>
      <c r="W20" s="72"/>
    </row>
    <row r="21" spans="1:23" ht="25.5" x14ac:dyDescent="0.15">
      <c r="A21" s="182"/>
      <c r="B21" s="166"/>
      <c r="C21" s="171"/>
      <c r="D21" s="67" t="s">
        <v>1568</v>
      </c>
      <c r="E21" s="68" t="s">
        <v>1928</v>
      </c>
      <c r="F21" s="68" t="s">
        <v>167</v>
      </c>
      <c r="G21" s="69" t="s">
        <v>551</v>
      </c>
      <c r="H21" s="69" t="s">
        <v>1531</v>
      </c>
      <c r="I21" s="73" t="s">
        <v>827</v>
      </c>
      <c r="J21" s="73" t="s">
        <v>1837</v>
      </c>
      <c r="K21" s="69" t="s">
        <v>1430</v>
      </c>
      <c r="L21" s="69" t="s">
        <v>1521</v>
      </c>
      <c r="M21" s="69" t="s">
        <v>848</v>
      </c>
      <c r="N21" s="69" t="s">
        <v>1531</v>
      </c>
      <c r="O21" s="69" t="s">
        <v>1495</v>
      </c>
      <c r="P21" s="69" t="s">
        <v>167</v>
      </c>
      <c r="Q21" s="69" t="s">
        <v>1448</v>
      </c>
      <c r="R21" s="69" t="s">
        <v>1188</v>
      </c>
      <c r="S21" s="69"/>
      <c r="T21" s="69"/>
      <c r="U21" s="69" t="s">
        <v>1556</v>
      </c>
      <c r="V21" s="71" t="s">
        <v>1572</v>
      </c>
      <c r="W21" s="72"/>
    </row>
    <row r="22" spans="1:23" ht="38.25" x14ac:dyDescent="0.15">
      <c r="A22" s="182"/>
      <c r="B22" s="166"/>
      <c r="C22" s="171"/>
      <c r="D22" s="67" t="s">
        <v>1568</v>
      </c>
      <c r="E22" s="68" t="s">
        <v>1927</v>
      </c>
      <c r="F22" s="68" t="s">
        <v>1090</v>
      </c>
      <c r="G22" s="69" t="s">
        <v>1409</v>
      </c>
      <c r="H22" s="69" t="s">
        <v>810</v>
      </c>
      <c r="I22" s="73" t="s">
        <v>2650</v>
      </c>
      <c r="J22" s="73" t="s">
        <v>166</v>
      </c>
      <c r="K22" s="69" t="s">
        <v>660</v>
      </c>
      <c r="L22" s="69" t="s">
        <v>810</v>
      </c>
      <c r="M22" s="69" t="s">
        <v>534</v>
      </c>
      <c r="N22" s="69" t="s">
        <v>590</v>
      </c>
      <c r="O22" s="69" t="s">
        <v>1528</v>
      </c>
      <c r="P22" s="69" t="s">
        <v>1090</v>
      </c>
      <c r="Q22" s="69" t="s">
        <v>616</v>
      </c>
      <c r="R22" s="69" t="s">
        <v>2634</v>
      </c>
      <c r="S22" s="69"/>
      <c r="T22" s="69"/>
      <c r="U22" s="69" t="s">
        <v>1591</v>
      </c>
      <c r="V22" s="71" t="s">
        <v>1572</v>
      </c>
      <c r="W22" s="72"/>
    </row>
    <row r="23" spans="1:23" ht="25.5" x14ac:dyDescent="0.15">
      <c r="A23" s="182"/>
      <c r="B23" s="166"/>
      <c r="C23" s="171"/>
      <c r="D23" s="67" t="s">
        <v>1568</v>
      </c>
      <c r="E23" s="68" t="s">
        <v>1944</v>
      </c>
      <c r="F23" s="68" t="s">
        <v>1134</v>
      </c>
      <c r="G23" s="69" t="s">
        <v>1409</v>
      </c>
      <c r="H23" s="69" t="s">
        <v>810</v>
      </c>
      <c r="I23" s="73" t="s">
        <v>827</v>
      </c>
      <c r="J23" s="73" t="s">
        <v>1837</v>
      </c>
      <c r="K23" s="69" t="s">
        <v>660</v>
      </c>
      <c r="L23" s="69" t="s">
        <v>810</v>
      </c>
      <c r="M23" s="69" t="s">
        <v>534</v>
      </c>
      <c r="N23" s="69" t="s">
        <v>590</v>
      </c>
      <c r="O23" s="69" t="s">
        <v>1528</v>
      </c>
      <c r="P23" s="69" t="s">
        <v>1134</v>
      </c>
      <c r="Q23" s="69" t="s">
        <v>616</v>
      </c>
      <c r="R23" s="69" t="s">
        <v>2634</v>
      </c>
      <c r="S23" s="69"/>
      <c r="T23" s="69"/>
      <c r="U23" s="69" t="s">
        <v>1591</v>
      </c>
      <c r="V23" s="71" t="s">
        <v>1572</v>
      </c>
      <c r="W23" s="72"/>
    </row>
    <row r="24" spans="1:23" ht="25.5" x14ac:dyDescent="0.15">
      <c r="A24" s="182"/>
      <c r="B24" s="166"/>
      <c r="C24" s="171"/>
      <c r="D24" s="67" t="s">
        <v>1568</v>
      </c>
      <c r="E24" s="68" t="s">
        <v>1901</v>
      </c>
      <c r="F24" s="68" t="s">
        <v>1162</v>
      </c>
      <c r="G24" s="69" t="s">
        <v>1409</v>
      </c>
      <c r="H24" s="69" t="s">
        <v>810</v>
      </c>
      <c r="I24" s="73" t="s">
        <v>827</v>
      </c>
      <c r="J24" s="73" t="s">
        <v>1837</v>
      </c>
      <c r="K24" s="69" t="s">
        <v>660</v>
      </c>
      <c r="L24" s="69" t="s">
        <v>810</v>
      </c>
      <c r="M24" s="69" t="s">
        <v>534</v>
      </c>
      <c r="N24" s="69" t="s">
        <v>590</v>
      </c>
      <c r="O24" s="69" t="s">
        <v>1528</v>
      </c>
      <c r="P24" s="69" t="s">
        <v>1162</v>
      </c>
      <c r="Q24" s="69" t="s">
        <v>616</v>
      </c>
      <c r="R24" s="69" t="s">
        <v>2634</v>
      </c>
      <c r="S24" s="69"/>
      <c r="T24" s="69"/>
      <c r="U24" s="69" t="s">
        <v>1591</v>
      </c>
      <c r="V24" s="71" t="s">
        <v>1572</v>
      </c>
      <c r="W24" s="72"/>
    </row>
    <row r="25" spans="1:23" ht="25.5" x14ac:dyDescent="0.15">
      <c r="A25" s="182"/>
      <c r="B25" s="166"/>
      <c r="C25" s="171"/>
      <c r="D25" s="67" t="s">
        <v>1568</v>
      </c>
      <c r="E25" s="68" t="s">
        <v>2326</v>
      </c>
      <c r="F25" s="68" t="s">
        <v>339</v>
      </c>
      <c r="G25" s="69" t="s">
        <v>1409</v>
      </c>
      <c r="H25" s="69" t="s">
        <v>810</v>
      </c>
      <c r="I25" s="73" t="s">
        <v>827</v>
      </c>
      <c r="J25" s="73" t="s">
        <v>1837</v>
      </c>
      <c r="K25" s="69" t="s">
        <v>660</v>
      </c>
      <c r="L25" s="69" t="s">
        <v>810</v>
      </c>
      <c r="M25" s="69" t="s">
        <v>534</v>
      </c>
      <c r="N25" s="69" t="s">
        <v>590</v>
      </c>
      <c r="O25" s="69" t="s">
        <v>1528</v>
      </c>
      <c r="P25" s="69" t="s">
        <v>339</v>
      </c>
      <c r="Q25" s="69" t="s">
        <v>616</v>
      </c>
      <c r="R25" s="69" t="s">
        <v>2634</v>
      </c>
      <c r="S25" s="69"/>
      <c r="T25" s="69"/>
      <c r="U25" s="69" t="s">
        <v>1591</v>
      </c>
      <c r="V25" s="71" t="s">
        <v>1572</v>
      </c>
      <c r="W25" s="72"/>
    </row>
    <row r="26" spans="1:23" ht="25.5" x14ac:dyDescent="0.15">
      <c r="A26" s="182"/>
      <c r="B26" s="166"/>
      <c r="C26" s="171"/>
      <c r="D26" s="67" t="s">
        <v>1568</v>
      </c>
      <c r="E26" s="68" t="s">
        <v>1905</v>
      </c>
      <c r="F26" s="68" t="s">
        <v>1131</v>
      </c>
      <c r="G26" s="69" t="s">
        <v>1409</v>
      </c>
      <c r="H26" s="69" t="s">
        <v>810</v>
      </c>
      <c r="I26" s="73" t="s">
        <v>827</v>
      </c>
      <c r="J26" s="73" t="s">
        <v>1837</v>
      </c>
      <c r="K26" s="69" t="s">
        <v>660</v>
      </c>
      <c r="L26" s="69" t="s">
        <v>810</v>
      </c>
      <c r="M26" s="69" t="s">
        <v>534</v>
      </c>
      <c r="N26" s="69" t="s">
        <v>590</v>
      </c>
      <c r="O26" s="69" t="s">
        <v>1528</v>
      </c>
      <c r="P26" s="69" t="s">
        <v>1131</v>
      </c>
      <c r="Q26" s="69" t="s">
        <v>616</v>
      </c>
      <c r="R26" s="69" t="s">
        <v>2634</v>
      </c>
      <c r="S26" s="69"/>
      <c r="T26" s="69"/>
      <c r="U26" s="69" t="s">
        <v>1591</v>
      </c>
      <c r="V26" s="71" t="s">
        <v>1572</v>
      </c>
      <c r="W26" s="72"/>
    </row>
    <row r="27" spans="1:23" ht="25.5" x14ac:dyDescent="0.15">
      <c r="A27" s="182"/>
      <c r="B27" s="166"/>
      <c r="C27" s="171"/>
      <c r="D27" s="67" t="s">
        <v>1568</v>
      </c>
      <c r="E27" s="68" t="s">
        <v>1930</v>
      </c>
      <c r="F27" s="68" t="s">
        <v>1100</v>
      </c>
      <c r="G27" s="69" t="s">
        <v>1409</v>
      </c>
      <c r="H27" s="69" t="s">
        <v>810</v>
      </c>
      <c r="I27" s="73" t="s">
        <v>827</v>
      </c>
      <c r="J27" s="73" t="s">
        <v>1837</v>
      </c>
      <c r="K27" s="69" t="s">
        <v>660</v>
      </c>
      <c r="L27" s="69" t="s">
        <v>810</v>
      </c>
      <c r="M27" s="69" t="s">
        <v>534</v>
      </c>
      <c r="N27" s="69" t="s">
        <v>590</v>
      </c>
      <c r="O27" s="69" t="s">
        <v>1528</v>
      </c>
      <c r="P27" s="69" t="s">
        <v>1100</v>
      </c>
      <c r="Q27" s="69" t="s">
        <v>616</v>
      </c>
      <c r="R27" s="69" t="s">
        <v>2634</v>
      </c>
      <c r="S27" s="69"/>
      <c r="T27" s="69"/>
      <c r="U27" s="69" t="s">
        <v>1591</v>
      </c>
      <c r="V27" s="71" t="s">
        <v>1572</v>
      </c>
      <c r="W27" s="72"/>
    </row>
    <row r="28" spans="1:23" ht="25.5" x14ac:dyDescent="0.15">
      <c r="A28" s="182"/>
      <c r="B28" s="166"/>
      <c r="C28" s="171"/>
      <c r="D28" s="67" t="s">
        <v>1568</v>
      </c>
      <c r="E28" s="68" t="s">
        <v>1805</v>
      </c>
      <c r="F28" s="68" t="s">
        <v>1174</v>
      </c>
      <c r="G28" s="69" t="s">
        <v>1409</v>
      </c>
      <c r="H28" s="69" t="s">
        <v>810</v>
      </c>
      <c r="I28" s="73" t="s">
        <v>827</v>
      </c>
      <c r="J28" s="73" t="s">
        <v>1837</v>
      </c>
      <c r="K28" s="69" t="s">
        <v>660</v>
      </c>
      <c r="L28" s="69" t="s">
        <v>810</v>
      </c>
      <c r="M28" s="69" t="s">
        <v>534</v>
      </c>
      <c r="N28" s="69" t="s">
        <v>590</v>
      </c>
      <c r="O28" s="69" t="s">
        <v>1528</v>
      </c>
      <c r="P28" s="69" t="s">
        <v>1174</v>
      </c>
      <c r="Q28" s="69" t="s">
        <v>616</v>
      </c>
      <c r="R28" s="69" t="s">
        <v>2634</v>
      </c>
      <c r="S28" s="69"/>
      <c r="T28" s="69"/>
      <c r="U28" s="69" t="s">
        <v>1591</v>
      </c>
      <c r="V28" s="71" t="s">
        <v>1572</v>
      </c>
      <c r="W28" s="72"/>
    </row>
    <row r="29" spans="1:23" ht="25.5" x14ac:dyDescent="0.15">
      <c r="A29" s="182"/>
      <c r="B29" s="166"/>
      <c r="C29" s="171"/>
      <c r="D29" s="67" t="s">
        <v>1568</v>
      </c>
      <c r="E29" s="68" t="s">
        <v>1813</v>
      </c>
      <c r="F29" s="68" t="s">
        <v>1126</v>
      </c>
      <c r="G29" s="69" t="s">
        <v>1409</v>
      </c>
      <c r="H29" s="69" t="s">
        <v>810</v>
      </c>
      <c r="I29" s="73" t="s">
        <v>827</v>
      </c>
      <c r="J29" s="73" t="s">
        <v>1837</v>
      </c>
      <c r="K29" s="69" t="s">
        <v>660</v>
      </c>
      <c r="L29" s="69" t="s">
        <v>810</v>
      </c>
      <c r="M29" s="69" t="s">
        <v>534</v>
      </c>
      <c r="N29" s="69" t="s">
        <v>590</v>
      </c>
      <c r="O29" s="69" t="s">
        <v>1528</v>
      </c>
      <c r="P29" s="69" t="s">
        <v>1126</v>
      </c>
      <c r="Q29" s="69" t="s">
        <v>616</v>
      </c>
      <c r="R29" s="69" t="s">
        <v>2634</v>
      </c>
      <c r="S29" s="69"/>
      <c r="T29" s="69"/>
      <c r="U29" s="69" t="s">
        <v>1591</v>
      </c>
      <c r="V29" s="71" t="s">
        <v>1572</v>
      </c>
      <c r="W29" s="72"/>
    </row>
    <row r="30" spans="1:23" ht="25.5" x14ac:dyDescent="0.15">
      <c r="A30" s="182"/>
      <c r="B30" s="166"/>
      <c r="C30" s="171"/>
      <c r="D30" s="67" t="s">
        <v>1568</v>
      </c>
      <c r="E30" s="68" t="s">
        <v>1919</v>
      </c>
      <c r="F30" s="68" t="s">
        <v>212</v>
      </c>
      <c r="G30" s="69" t="s">
        <v>1409</v>
      </c>
      <c r="H30" s="69" t="s">
        <v>810</v>
      </c>
      <c r="I30" s="73" t="s">
        <v>827</v>
      </c>
      <c r="J30" s="73" t="s">
        <v>1837</v>
      </c>
      <c r="K30" s="69" t="s">
        <v>660</v>
      </c>
      <c r="L30" s="69" t="s">
        <v>810</v>
      </c>
      <c r="M30" s="69" t="s">
        <v>534</v>
      </c>
      <c r="N30" s="69" t="s">
        <v>590</v>
      </c>
      <c r="O30" s="69" t="s">
        <v>1528</v>
      </c>
      <c r="P30" s="69" t="s">
        <v>212</v>
      </c>
      <c r="Q30" s="69" t="s">
        <v>616</v>
      </c>
      <c r="R30" s="69" t="s">
        <v>2634</v>
      </c>
      <c r="S30" s="69"/>
      <c r="T30" s="69"/>
      <c r="U30" s="69" t="s">
        <v>1591</v>
      </c>
      <c r="V30" s="71" t="s">
        <v>1572</v>
      </c>
      <c r="W30" s="72"/>
    </row>
    <row r="31" spans="1:23" ht="25.5" x14ac:dyDescent="0.15">
      <c r="A31" s="182"/>
      <c r="B31" s="166"/>
      <c r="C31" s="171"/>
      <c r="D31" s="67" t="s">
        <v>1568</v>
      </c>
      <c r="E31" s="68" t="s">
        <v>2332</v>
      </c>
      <c r="F31" s="68" t="s">
        <v>237</v>
      </c>
      <c r="G31" s="69" t="s">
        <v>1409</v>
      </c>
      <c r="H31" s="69" t="s">
        <v>810</v>
      </c>
      <c r="I31" s="73" t="s">
        <v>827</v>
      </c>
      <c r="J31" s="73" t="s">
        <v>1837</v>
      </c>
      <c r="K31" s="69" t="s">
        <v>660</v>
      </c>
      <c r="L31" s="69" t="s">
        <v>810</v>
      </c>
      <c r="M31" s="69" t="s">
        <v>534</v>
      </c>
      <c r="N31" s="69" t="s">
        <v>590</v>
      </c>
      <c r="O31" s="69" t="s">
        <v>1528</v>
      </c>
      <c r="P31" s="69" t="s">
        <v>237</v>
      </c>
      <c r="Q31" s="69" t="s">
        <v>616</v>
      </c>
      <c r="R31" s="69" t="s">
        <v>2634</v>
      </c>
      <c r="S31" s="69"/>
      <c r="T31" s="69"/>
      <c r="U31" s="69" t="s">
        <v>1591</v>
      </c>
      <c r="V31" s="71" t="s">
        <v>1572</v>
      </c>
      <c r="W31" s="72"/>
    </row>
    <row r="32" spans="1:23" ht="38.25" x14ac:dyDescent="0.15">
      <c r="A32" s="182"/>
      <c r="B32" s="166"/>
      <c r="C32" s="171"/>
      <c r="D32" s="67" t="s">
        <v>1568</v>
      </c>
      <c r="E32" s="68" t="s">
        <v>1972</v>
      </c>
      <c r="F32" s="68" t="s">
        <v>2704</v>
      </c>
      <c r="G32" s="69" t="s">
        <v>1409</v>
      </c>
      <c r="H32" s="69" t="s">
        <v>810</v>
      </c>
      <c r="I32" s="73" t="s">
        <v>827</v>
      </c>
      <c r="J32" s="73" t="s">
        <v>1837</v>
      </c>
      <c r="K32" s="69" t="s">
        <v>660</v>
      </c>
      <c r="L32" s="69" t="s">
        <v>810</v>
      </c>
      <c r="M32" s="69" t="s">
        <v>534</v>
      </c>
      <c r="N32" s="69" t="s">
        <v>590</v>
      </c>
      <c r="O32" s="69" t="s">
        <v>1528</v>
      </c>
      <c r="P32" s="69" t="s">
        <v>2704</v>
      </c>
      <c r="Q32" s="69" t="s">
        <v>616</v>
      </c>
      <c r="R32" s="69" t="s">
        <v>2634</v>
      </c>
      <c r="S32" s="69"/>
      <c r="T32" s="69"/>
      <c r="U32" s="69" t="s">
        <v>1591</v>
      </c>
      <c r="V32" s="71" t="s">
        <v>1572</v>
      </c>
      <c r="W32" s="72"/>
    </row>
    <row r="33" spans="1:23" ht="38.25" x14ac:dyDescent="0.15">
      <c r="A33" s="182"/>
      <c r="B33" s="166"/>
      <c r="C33" s="171"/>
      <c r="D33" s="67" t="s">
        <v>1568</v>
      </c>
      <c r="E33" s="68" t="s">
        <v>1897</v>
      </c>
      <c r="F33" s="68" t="s">
        <v>2630</v>
      </c>
      <c r="G33" s="69" t="s">
        <v>1409</v>
      </c>
      <c r="H33" s="69" t="s">
        <v>810</v>
      </c>
      <c r="I33" s="73" t="s">
        <v>827</v>
      </c>
      <c r="J33" s="73" t="s">
        <v>1837</v>
      </c>
      <c r="K33" s="69" t="s">
        <v>660</v>
      </c>
      <c r="L33" s="69" t="s">
        <v>810</v>
      </c>
      <c r="M33" s="69" t="s">
        <v>534</v>
      </c>
      <c r="N33" s="69" t="s">
        <v>590</v>
      </c>
      <c r="O33" s="69" t="s">
        <v>1528</v>
      </c>
      <c r="P33" s="69" t="s">
        <v>2630</v>
      </c>
      <c r="Q33" s="69" t="s">
        <v>616</v>
      </c>
      <c r="R33" s="69" t="s">
        <v>2634</v>
      </c>
      <c r="S33" s="69"/>
      <c r="T33" s="69"/>
      <c r="U33" s="69" t="s">
        <v>1591</v>
      </c>
      <c r="V33" s="71" t="s">
        <v>1572</v>
      </c>
      <c r="W33" s="72"/>
    </row>
    <row r="34" spans="1:23" ht="25.5" x14ac:dyDescent="0.15">
      <c r="A34" s="182"/>
      <c r="B34" s="166"/>
      <c r="C34" s="171"/>
      <c r="D34" s="67" t="s">
        <v>1568</v>
      </c>
      <c r="E34" s="68" t="s">
        <v>1838</v>
      </c>
      <c r="F34" s="68" t="s">
        <v>159</v>
      </c>
      <c r="G34" s="69" t="s">
        <v>1409</v>
      </c>
      <c r="H34" s="69" t="s">
        <v>810</v>
      </c>
      <c r="I34" s="73" t="s">
        <v>827</v>
      </c>
      <c r="J34" s="73" t="s">
        <v>1837</v>
      </c>
      <c r="K34" s="69" t="s">
        <v>660</v>
      </c>
      <c r="L34" s="69" t="s">
        <v>810</v>
      </c>
      <c r="M34" s="69" t="s">
        <v>534</v>
      </c>
      <c r="N34" s="69" t="s">
        <v>590</v>
      </c>
      <c r="O34" s="69" t="s">
        <v>1528</v>
      </c>
      <c r="P34" s="69" t="s">
        <v>159</v>
      </c>
      <c r="Q34" s="69" t="s">
        <v>616</v>
      </c>
      <c r="R34" s="69" t="s">
        <v>2634</v>
      </c>
      <c r="S34" s="69"/>
      <c r="T34" s="69"/>
      <c r="U34" s="69" t="s">
        <v>1591</v>
      </c>
      <c r="V34" s="71" t="s">
        <v>1572</v>
      </c>
      <c r="W34" s="72"/>
    </row>
    <row r="35" spans="1:23" ht="25.5" x14ac:dyDescent="0.15">
      <c r="A35" s="182"/>
      <c r="B35" s="166"/>
      <c r="C35" s="171"/>
      <c r="D35" s="67" t="s">
        <v>1568</v>
      </c>
      <c r="E35" s="68" t="s">
        <v>1836</v>
      </c>
      <c r="F35" s="68" t="s">
        <v>194</v>
      </c>
      <c r="G35" s="69" t="s">
        <v>1409</v>
      </c>
      <c r="H35" s="69" t="s">
        <v>810</v>
      </c>
      <c r="I35" s="73" t="s">
        <v>827</v>
      </c>
      <c r="J35" s="73" t="s">
        <v>1837</v>
      </c>
      <c r="K35" s="69" t="s">
        <v>660</v>
      </c>
      <c r="L35" s="69" t="s">
        <v>810</v>
      </c>
      <c r="M35" s="69" t="s">
        <v>534</v>
      </c>
      <c r="N35" s="69" t="s">
        <v>590</v>
      </c>
      <c r="O35" s="69" t="s">
        <v>1528</v>
      </c>
      <c r="P35" s="69" t="s">
        <v>194</v>
      </c>
      <c r="Q35" s="69" t="s">
        <v>616</v>
      </c>
      <c r="R35" s="69" t="s">
        <v>2634</v>
      </c>
      <c r="S35" s="69"/>
      <c r="T35" s="69"/>
      <c r="U35" s="69" t="s">
        <v>1591</v>
      </c>
      <c r="V35" s="71" t="s">
        <v>1572</v>
      </c>
      <c r="W35" s="72"/>
    </row>
    <row r="36" spans="1:23" ht="25.5" x14ac:dyDescent="0.15">
      <c r="A36" s="182"/>
      <c r="B36" s="166"/>
      <c r="C36" s="171"/>
      <c r="D36" s="67" t="s">
        <v>1568</v>
      </c>
      <c r="E36" s="68" t="s">
        <v>1913</v>
      </c>
      <c r="F36" s="68" t="s">
        <v>319</v>
      </c>
      <c r="G36" s="69" t="s">
        <v>1409</v>
      </c>
      <c r="H36" s="69" t="s">
        <v>810</v>
      </c>
      <c r="I36" s="73" t="s">
        <v>827</v>
      </c>
      <c r="J36" s="73" t="s">
        <v>1837</v>
      </c>
      <c r="K36" s="69" t="s">
        <v>660</v>
      </c>
      <c r="L36" s="69" t="s">
        <v>810</v>
      </c>
      <c r="M36" s="69" t="s">
        <v>534</v>
      </c>
      <c r="N36" s="69" t="s">
        <v>590</v>
      </c>
      <c r="O36" s="69" t="s">
        <v>1528</v>
      </c>
      <c r="P36" s="69" t="s">
        <v>319</v>
      </c>
      <c r="Q36" s="69" t="s">
        <v>616</v>
      </c>
      <c r="R36" s="69" t="s">
        <v>2634</v>
      </c>
      <c r="S36" s="69"/>
      <c r="T36" s="69"/>
      <c r="U36" s="69" t="s">
        <v>1591</v>
      </c>
      <c r="V36" s="71" t="s">
        <v>1572</v>
      </c>
      <c r="W36" s="72"/>
    </row>
    <row r="37" spans="1:23" ht="38.25" x14ac:dyDescent="0.15">
      <c r="A37" s="182"/>
      <c r="B37" s="166"/>
      <c r="C37" s="171"/>
      <c r="D37" s="67" t="s">
        <v>1568</v>
      </c>
      <c r="E37" s="68" t="s">
        <v>1921</v>
      </c>
      <c r="F37" s="68" t="s">
        <v>2708</v>
      </c>
      <c r="G37" s="69" t="s">
        <v>1409</v>
      </c>
      <c r="H37" s="69" t="s">
        <v>810</v>
      </c>
      <c r="I37" s="73" t="s">
        <v>827</v>
      </c>
      <c r="J37" s="73" t="s">
        <v>1837</v>
      </c>
      <c r="K37" s="69" t="s">
        <v>660</v>
      </c>
      <c r="L37" s="69" t="s">
        <v>810</v>
      </c>
      <c r="M37" s="69" t="s">
        <v>534</v>
      </c>
      <c r="N37" s="69" t="s">
        <v>590</v>
      </c>
      <c r="O37" s="69" t="s">
        <v>1528</v>
      </c>
      <c r="P37" s="69" t="s">
        <v>2708</v>
      </c>
      <c r="Q37" s="69" t="s">
        <v>616</v>
      </c>
      <c r="R37" s="69" t="s">
        <v>2634</v>
      </c>
      <c r="S37" s="69"/>
      <c r="T37" s="69"/>
      <c r="U37" s="69" t="s">
        <v>1591</v>
      </c>
      <c r="V37" s="71" t="s">
        <v>1572</v>
      </c>
      <c r="W37" s="72"/>
    </row>
    <row r="38" spans="1:23" ht="25.5" x14ac:dyDescent="0.15">
      <c r="A38" s="182"/>
      <c r="B38" s="166"/>
      <c r="C38" s="171"/>
      <c r="D38" s="67" t="s">
        <v>1568</v>
      </c>
      <c r="E38" s="68" t="s">
        <v>1907</v>
      </c>
      <c r="F38" s="68" t="s">
        <v>158</v>
      </c>
      <c r="G38" s="69" t="s">
        <v>1409</v>
      </c>
      <c r="H38" s="69" t="s">
        <v>810</v>
      </c>
      <c r="I38" s="73" t="s">
        <v>827</v>
      </c>
      <c r="J38" s="73" t="s">
        <v>1837</v>
      </c>
      <c r="K38" s="69" t="s">
        <v>660</v>
      </c>
      <c r="L38" s="69" t="s">
        <v>810</v>
      </c>
      <c r="M38" s="69" t="s">
        <v>534</v>
      </c>
      <c r="N38" s="69" t="s">
        <v>590</v>
      </c>
      <c r="O38" s="69" t="s">
        <v>1528</v>
      </c>
      <c r="P38" s="69" t="s">
        <v>158</v>
      </c>
      <c r="Q38" s="69" t="s">
        <v>616</v>
      </c>
      <c r="R38" s="69" t="s">
        <v>2634</v>
      </c>
      <c r="S38" s="69"/>
      <c r="T38" s="69"/>
      <c r="U38" s="69" t="s">
        <v>1556</v>
      </c>
      <c r="V38" s="71" t="s">
        <v>1572</v>
      </c>
      <c r="W38" s="72"/>
    </row>
    <row r="39" spans="1:23" ht="25.5" x14ac:dyDescent="0.15">
      <c r="A39" s="182"/>
      <c r="B39" s="166"/>
      <c r="C39" s="171"/>
      <c r="D39" s="67" t="s">
        <v>1568</v>
      </c>
      <c r="E39" s="68" t="s">
        <v>1931</v>
      </c>
      <c r="F39" s="68" t="s">
        <v>1079</v>
      </c>
      <c r="G39" s="69" t="s">
        <v>1409</v>
      </c>
      <c r="H39" s="69" t="s">
        <v>810</v>
      </c>
      <c r="I39" s="73" t="s">
        <v>827</v>
      </c>
      <c r="J39" s="73" t="s">
        <v>1837</v>
      </c>
      <c r="K39" s="69" t="s">
        <v>660</v>
      </c>
      <c r="L39" s="69" t="s">
        <v>810</v>
      </c>
      <c r="M39" s="69" t="s">
        <v>534</v>
      </c>
      <c r="N39" s="69" t="s">
        <v>590</v>
      </c>
      <c r="O39" s="69" t="s">
        <v>1528</v>
      </c>
      <c r="P39" s="69" t="s">
        <v>1079</v>
      </c>
      <c r="Q39" s="69" t="s">
        <v>616</v>
      </c>
      <c r="R39" s="69" t="s">
        <v>2634</v>
      </c>
      <c r="S39" s="69"/>
      <c r="T39" s="69"/>
      <c r="U39" s="69" t="s">
        <v>1556</v>
      </c>
      <c r="V39" s="71" t="s">
        <v>1572</v>
      </c>
      <c r="W39" s="72"/>
    </row>
    <row r="40" spans="1:23" ht="25.5" x14ac:dyDescent="0.15">
      <c r="A40" s="182"/>
      <c r="B40" s="166"/>
      <c r="C40" s="171"/>
      <c r="D40" s="67" t="s">
        <v>1568</v>
      </c>
      <c r="E40" s="68" t="s">
        <v>1896</v>
      </c>
      <c r="F40" s="68" t="s">
        <v>1275</v>
      </c>
      <c r="G40" s="69" t="s">
        <v>1409</v>
      </c>
      <c r="H40" s="69" t="s">
        <v>810</v>
      </c>
      <c r="I40" s="73" t="s">
        <v>827</v>
      </c>
      <c r="J40" s="73" t="s">
        <v>1837</v>
      </c>
      <c r="K40" s="69" t="s">
        <v>660</v>
      </c>
      <c r="L40" s="69" t="s">
        <v>810</v>
      </c>
      <c r="M40" s="69" t="s">
        <v>534</v>
      </c>
      <c r="N40" s="69" t="s">
        <v>590</v>
      </c>
      <c r="O40" s="69" t="s">
        <v>1528</v>
      </c>
      <c r="P40" s="69" t="s">
        <v>1275</v>
      </c>
      <c r="Q40" s="69" t="s">
        <v>616</v>
      </c>
      <c r="R40" s="69" t="s">
        <v>2634</v>
      </c>
      <c r="S40" s="69"/>
      <c r="T40" s="69"/>
      <c r="U40" s="69" t="s">
        <v>1556</v>
      </c>
      <c r="V40" s="71" t="s">
        <v>1572</v>
      </c>
      <c r="W40" s="72"/>
    </row>
    <row r="41" spans="1:23" ht="25.5" x14ac:dyDescent="0.15">
      <c r="A41" s="182"/>
      <c r="B41" s="166"/>
      <c r="C41" s="171"/>
      <c r="D41" s="67" t="s">
        <v>1568</v>
      </c>
      <c r="E41" s="68" t="s">
        <v>1929</v>
      </c>
      <c r="F41" s="68" t="s">
        <v>1224</v>
      </c>
      <c r="G41" s="69" t="s">
        <v>1409</v>
      </c>
      <c r="H41" s="69" t="s">
        <v>810</v>
      </c>
      <c r="I41" s="73" t="s">
        <v>827</v>
      </c>
      <c r="J41" s="73" t="s">
        <v>1837</v>
      </c>
      <c r="K41" s="69" t="s">
        <v>660</v>
      </c>
      <c r="L41" s="69" t="s">
        <v>810</v>
      </c>
      <c r="M41" s="69" t="s">
        <v>534</v>
      </c>
      <c r="N41" s="69" t="s">
        <v>590</v>
      </c>
      <c r="O41" s="69" t="s">
        <v>1528</v>
      </c>
      <c r="P41" s="69" t="s">
        <v>1224</v>
      </c>
      <c r="Q41" s="69" t="s">
        <v>616</v>
      </c>
      <c r="R41" s="69" t="s">
        <v>2634</v>
      </c>
      <c r="S41" s="69"/>
      <c r="T41" s="69"/>
      <c r="U41" s="69" t="s">
        <v>1556</v>
      </c>
      <c r="V41" s="71" t="s">
        <v>1572</v>
      </c>
      <c r="W41" s="72"/>
    </row>
    <row r="42" spans="1:23" ht="25.5" x14ac:dyDescent="0.15">
      <c r="A42" s="182"/>
      <c r="B42" s="166"/>
      <c r="C42" s="171"/>
      <c r="D42" s="67" t="s">
        <v>1568</v>
      </c>
      <c r="E42" s="68" t="s">
        <v>2351</v>
      </c>
      <c r="F42" s="68" t="s">
        <v>1030</v>
      </c>
      <c r="G42" s="69" t="s">
        <v>1409</v>
      </c>
      <c r="H42" s="69" t="s">
        <v>810</v>
      </c>
      <c r="I42" s="73" t="s">
        <v>827</v>
      </c>
      <c r="J42" s="73" t="s">
        <v>1837</v>
      </c>
      <c r="K42" s="69" t="s">
        <v>660</v>
      </c>
      <c r="L42" s="69" t="s">
        <v>810</v>
      </c>
      <c r="M42" s="69" t="s">
        <v>534</v>
      </c>
      <c r="N42" s="69" t="s">
        <v>590</v>
      </c>
      <c r="O42" s="69" t="s">
        <v>1528</v>
      </c>
      <c r="P42" s="69" t="s">
        <v>1030</v>
      </c>
      <c r="Q42" s="69" t="s">
        <v>616</v>
      </c>
      <c r="R42" s="69" t="s">
        <v>2634</v>
      </c>
      <c r="S42" s="69"/>
      <c r="T42" s="69"/>
      <c r="U42" s="69" t="s">
        <v>1556</v>
      </c>
      <c r="V42" s="71" t="s">
        <v>1572</v>
      </c>
      <c r="W42" s="72"/>
    </row>
    <row r="43" spans="1:23" ht="25.5" x14ac:dyDescent="0.15">
      <c r="A43" s="182"/>
      <c r="B43" s="166"/>
      <c r="C43" s="171"/>
      <c r="D43" s="67" t="s">
        <v>1568</v>
      </c>
      <c r="E43" s="68" t="s">
        <v>1902</v>
      </c>
      <c r="F43" s="68" t="s">
        <v>1306</v>
      </c>
      <c r="G43" s="69" t="s">
        <v>1409</v>
      </c>
      <c r="H43" s="69" t="s">
        <v>810</v>
      </c>
      <c r="I43" s="73" t="s">
        <v>827</v>
      </c>
      <c r="J43" s="73" t="s">
        <v>1837</v>
      </c>
      <c r="K43" s="69" t="s">
        <v>660</v>
      </c>
      <c r="L43" s="69" t="s">
        <v>810</v>
      </c>
      <c r="M43" s="69" t="s">
        <v>534</v>
      </c>
      <c r="N43" s="69" t="s">
        <v>590</v>
      </c>
      <c r="O43" s="69" t="s">
        <v>1528</v>
      </c>
      <c r="P43" s="69" t="s">
        <v>1306</v>
      </c>
      <c r="Q43" s="69" t="s">
        <v>616</v>
      </c>
      <c r="R43" s="69" t="s">
        <v>2634</v>
      </c>
      <c r="S43" s="69"/>
      <c r="T43" s="69"/>
      <c r="U43" s="69" t="s">
        <v>1556</v>
      </c>
      <c r="V43" s="71" t="s">
        <v>1572</v>
      </c>
      <c r="W43" s="72"/>
    </row>
    <row r="44" spans="1:23" ht="25.5" x14ac:dyDescent="0.15">
      <c r="A44" s="182"/>
      <c r="B44" s="166"/>
      <c r="C44" s="171"/>
      <c r="D44" s="67" t="s">
        <v>1568</v>
      </c>
      <c r="E44" s="68" t="s">
        <v>1823</v>
      </c>
      <c r="F44" s="68" t="s">
        <v>1269</v>
      </c>
      <c r="G44" s="69" t="s">
        <v>1409</v>
      </c>
      <c r="H44" s="69" t="s">
        <v>810</v>
      </c>
      <c r="I44" s="73" t="s">
        <v>827</v>
      </c>
      <c r="J44" s="73" t="s">
        <v>1837</v>
      </c>
      <c r="K44" s="69" t="s">
        <v>660</v>
      </c>
      <c r="L44" s="69" t="s">
        <v>810</v>
      </c>
      <c r="M44" s="69" t="s">
        <v>534</v>
      </c>
      <c r="N44" s="69" t="s">
        <v>590</v>
      </c>
      <c r="O44" s="69" t="s">
        <v>1528</v>
      </c>
      <c r="P44" s="69" t="s">
        <v>1269</v>
      </c>
      <c r="Q44" s="69" t="s">
        <v>616</v>
      </c>
      <c r="R44" s="69" t="s">
        <v>2634</v>
      </c>
      <c r="S44" s="69"/>
      <c r="T44" s="69"/>
      <c r="U44" s="69" t="s">
        <v>1556</v>
      </c>
      <c r="V44" s="71" t="s">
        <v>1572</v>
      </c>
      <c r="W44" s="72"/>
    </row>
    <row r="45" spans="1:23" ht="38.25" customHeight="1" x14ac:dyDescent="0.15">
      <c r="A45" s="182"/>
      <c r="B45" s="166"/>
      <c r="C45" s="171" t="s">
        <v>220</v>
      </c>
      <c r="D45" s="67" t="s">
        <v>1568</v>
      </c>
      <c r="E45" s="68" t="s">
        <v>1804</v>
      </c>
      <c r="F45" s="68" t="s">
        <v>2706</v>
      </c>
      <c r="G45" s="69" t="s">
        <v>644</v>
      </c>
      <c r="H45" s="69" t="s">
        <v>1239</v>
      </c>
      <c r="I45" s="73" t="s">
        <v>2696</v>
      </c>
      <c r="J45" s="73" t="s">
        <v>1175</v>
      </c>
      <c r="K45" s="69" t="s">
        <v>1515</v>
      </c>
      <c r="L45" s="69" t="s">
        <v>2580</v>
      </c>
      <c r="M45" s="69" t="s">
        <v>650</v>
      </c>
      <c r="N45" s="69" t="s">
        <v>2580</v>
      </c>
      <c r="O45" s="69" t="s">
        <v>837</v>
      </c>
      <c r="P45" s="69" t="s">
        <v>2706</v>
      </c>
      <c r="Q45" s="69" t="s">
        <v>883</v>
      </c>
      <c r="R45" s="69" t="s">
        <v>1337</v>
      </c>
      <c r="S45" s="69"/>
      <c r="T45" s="69"/>
      <c r="U45" s="69" t="s">
        <v>1591</v>
      </c>
      <c r="V45" s="71" t="s">
        <v>1572</v>
      </c>
      <c r="W45" s="72"/>
    </row>
    <row r="46" spans="1:23" ht="38.25" x14ac:dyDescent="0.15">
      <c r="A46" s="182"/>
      <c r="B46" s="166"/>
      <c r="C46" s="171"/>
      <c r="D46" s="67" t="s">
        <v>1568</v>
      </c>
      <c r="E46" s="68" t="s">
        <v>1916</v>
      </c>
      <c r="F46" s="68" t="s">
        <v>2673</v>
      </c>
      <c r="G46" s="69" t="s">
        <v>811</v>
      </c>
      <c r="H46" s="69" t="s">
        <v>1274</v>
      </c>
      <c r="I46" s="73" t="s">
        <v>617</v>
      </c>
      <c r="J46" s="73" t="s">
        <v>1882</v>
      </c>
      <c r="K46" s="69" t="s">
        <v>1347</v>
      </c>
      <c r="L46" s="69" t="s">
        <v>109</v>
      </c>
      <c r="M46" s="69" t="s">
        <v>650</v>
      </c>
      <c r="N46" s="69" t="s">
        <v>2580</v>
      </c>
      <c r="O46" s="69" t="s">
        <v>837</v>
      </c>
      <c r="P46" s="69" t="s">
        <v>2673</v>
      </c>
      <c r="Q46" s="69" t="s">
        <v>883</v>
      </c>
      <c r="R46" s="69" t="s">
        <v>1337</v>
      </c>
      <c r="S46" s="69"/>
      <c r="T46" s="69"/>
      <c r="U46" s="69" t="s">
        <v>1591</v>
      </c>
      <c r="V46" s="71" t="s">
        <v>1572</v>
      </c>
      <c r="W46" s="72"/>
    </row>
    <row r="47" spans="1:23" ht="38.25" x14ac:dyDescent="0.15">
      <c r="A47" s="182"/>
      <c r="B47" s="166"/>
      <c r="C47" s="171"/>
      <c r="D47" s="67" t="s">
        <v>1568</v>
      </c>
      <c r="E47" s="68" t="s">
        <v>1890</v>
      </c>
      <c r="F47" s="68" t="s">
        <v>2645</v>
      </c>
      <c r="G47" s="69" t="s">
        <v>811</v>
      </c>
      <c r="H47" s="69" t="s">
        <v>1274</v>
      </c>
      <c r="I47" s="73" t="s">
        <v>617</v>
      </c>
      <c r="J47" s="73" t="s">
        <v>1882</v>
      </c>
      <c r="K47" s="69" t="s">
        <v>1515</v>
      </c>
      <c r="L47" s="69" t="s">
        <v>2580</v>
      </c>
      <c r="M47" s="69" t="s">
        <v>650</v>
      </c>
      <c r="N47" s="69" t="s">
        <v>2580</v>
      </c>
      <c r="O47" s="69" t="s">
        <v>837</v>
      </c>
      <c r="P47" s="69" t="s">
        <v>2645</v>
      </c>
      <c r="Q47" s="69" t="s">
        <v>883</v>
      </c>
      <c r="R47" s="69" t="s">
        <v>1337</v>
      </c>
      <c r="S47" s="69"/>
      <c r="T47" s="69"/>
      <c r="U47" s="69" t="s">
        <v>1591</v>
      </c>
      <c r="V47" s="71" t="s">
        <v>1572</v>
      </c>
      <c r="W47" s="72"/>
    </row>
    <row r="48" spans="1:23" ht="51" x14ac:dyDescent="0.15">
      <c r="A48" s="182"/>
      <c r="B48" s="166"/>
      <c r="C48" s="171"/>
      <c r="D48" s="67" t="s">
        <v>1568</v>
      </c>
      <c r="E48" s="68" t="s">
        <v>2573</v>
      </c>
      <c r="F48" s="68" t="s">
        <v>498</v>
      </c>
      <c r="G48" s="69" t="s">
        <v>644</v>
      </c>
      <c r="H48" s="69" t="s">
        <v>1239</v>
      </c>
      <c r="I48" s="73" t="s">
        <v>617</v>
      </c>
      <c r="J48" s="73" t="s">
        <v>1882</v>
      </c>
      <c r="K48" s="69" t="s">
        <v>1515</v>
      </c>
      <c r="L48" s="69" t="s">
        <v>2580</v>
      </c>
      <c r="M48" s="69" t="s">
        <v>650</v>
      </c>
      <c r="N48" s="69" t="s">
        <v>2580</v>
      </c>
      <c r="O48" s="69" t="s">
        <v>837</v>
      </c>
      <c r="P48" s="69" t="s">
        <v>498</v>
      </c>
      <c r="Q48" s="69" t="s">
        <v>883</v>
      </c>
      <c r="R48" s="69" t="s">
        <v>1337</v>
      </c>
      <c r="S48" s="69"/>
      <c r="T48" s="69"/>
      <c r="U48" s="69" t="s">
        <v>1591</v>
      </c>
      <c r="V48" s="71" t="s">
        <v>1572</v>
      </c>
      <c r="W48" s="72"/>
    </row>
    <row r="49" spans="1:23" ht="25.5" x14ac:dyDescent="0.15">
      <c r="A49" s="182"/>
      <c r="B49" s="166"/>
      <c r="C49" s="171"/>
      <c r="D49" s="67" t="s">
        <v>939</v>
      </c>
      <c r="E49" s="68" t="s">
        <v>2562</v>
      </c>
      <c r="F49" s="68" t="s">
        <v>1092</v>
      </c>
      <c r="G49" s="69" t="s">
        <v>811</v>
      </c>
      <c r="H49" s="69" t="s">
        <v>1274</v>
      </c>
      <c r="I49" s="73" t="s">
        <v>617</v>
      </c>
      <c r="J49" s="73" t="s">
        <v>1882</v>
      </c>
      <c r="K49" s="69" t="s">
        <v>1515</v>
      </c>
      <c r="L49" s="69" t="s">
        <v>2580</v>
      </c>
      <c r="M49" s="69" t="s">
        <v>650</v>
      </c>
      <c r="N49" s="69" t="s">
        <v>2580</v>
      </c>
      <c r="O49" s="69" t="s">
        <v>837</v>
      </c>
      <c r="P49" s="69" t="s">
        <v>1092</v>
      </c>
      <c r="Q49" s="69" t="s">
        <v>883</v>
      </c>
      <c r="R49" s="69" t="s">
        <v>1337</v>
      </c>
      <c r="S49" s="69"/>
      <c r="T49" s="69"/>
      <c r="U49" s="69" t="s">
        <v>1591</v>
      </c>
      <c r="V49" s="71" t="s">
        <v>1572</v>
      </c>
      <c r="W49" s="72"/>
    </row>
    <row r="50" spans="1:23" ht="25.5" x14ac:dyDescent="0.15">
      <c r="A50" s="182"/>
      <c r="B50" s="166"/>
      <c r="C50" s="171"/>
      <c r="D50" s="67" t="s">
        <v>1568</v>
      </c>
      <c r="E50" s="68" t="s">
        <v>1820</v>
      </c>
      <c r="F50" s="68" t="s">
        <v>1093</v>
      </c>
      <c r="G50" s="69" t="s">
        <v>811</v>
      </c>
      <c r="H50" s="69" t="s">
        <v>1274</v>
      </c>
      <c r="I50" s="73" t="s">
        <v>617</v>
      </c>
      <c r="J50" s="73" t="s">
        <v>1882</v>
      </c>
      <c r="K50" s="69" t="s">
        <v>1515</v>
      </c>
      <c r="L50" s="69" t="s">
        <v>2580</v>
      </c>
      <c r="M50" s="69" t="s">
        <v>650</v>
      </c>
      <c r="N50" s="69" t="s">
        <v>2580</v>
      </c>
      <c r="O50" s="69" t="s">
        <v>837</v>
      </c>
      <c r="P50" s="69" t="s">
        <v>1093</v>
      </c>
      <c r="Q50" s="69" t="s">
        <v>883</v>
      </c>
      <c r="R50" s="69" t="s">
        <v>1337</v>
      </c>
      <c r="S50" s="69"/>
      <c r="T50" s="69"/>
      <c r="U50" s="69" t="s">
        <v>1591</v>
      </c>
      <c r="V50" s="71" t="s">
        <v>1572</v>
      </c>
      <c r="W50" s="72"/>
    </row>
    <row r="51" spans="1:23" ht="14.25" customHeight="1" x14ac:dyDescent="0.15">
      <c r="A51" s="182"/>
      <c r="B51" s="166"/>
      <c r="C51" s="171" t="s">
        <v>1947</v>
      </c>
      <c r="D51" s="67" t="s">
        <v>939</v>
      </c>
      <c r="E51" s="68" t="s">
        <v>1911</v>
      </c>
      <c r="F51" s="68" t="s">
        <v>2237</v>
      </c>
      <c r="G51" s="69" t="s">
        <v>1423</v>
      </c>
      <c r="H51" s="69" t="s">
        <v>1403</v>
      </c>
      <c r="I51" s="73" t="s">
        <v>845</v>
      </c>
      <c r="J51" s="73" t="s">
        <v>573</v>
      </c>
      <c r="K51" s="69" t="s">
        <v>1541</v>
      </c>
      <c r="L51" s="69" t="s">
        <v>1001</v>
      </c>
      <c r="M51" s="69" t="s">
        <v>582</v>
      </c>
      <c r="N51" s="69" t="s">
        <v>1441</v>
      </c>
      <c r="O51" s="69" t="s">
        <v>822</v>
      </c>
      <c r="P51" s="69" t="s">
        <v>2237</v>
      </c>
      <c r="Q51" s="69" t="s">
        <v>620</v>
      </c>
      <c r="R51" s="69" t="s">
        <v>730</v>
      </c>
      <c r="S51" s="69"/>
      <c r="T51" s="69"/>
      <c r="U51" s="69" t="s">
        <v>1591</v>
      </c>
      <c r="V51" s="71" t="s">
        <v>1555</v>
      </c>
      <c r="W51" s="74" t="s">
        <v>766</v>
      </c>
    </row>
    <row r="52" spans="1:23" ht="51" x14ac:dyDescent="0.15">
      <c r="A52" s="182"/>
      <c r="B52" s="166"/>
      <c r="C52" s="171"/>
      <c r="D52" s="67" t="s">
        <v>939</v>
      </c>
      <c r="E52" s="68" t="s">
        <v>1824</v>
      </c>
      <c r="F52" s="68" t="s">
        <v>959</v>
      </c>
      <c r="G52" s="69" t="s">
        <v>1423</v>
      </c>
      <c r="H52" s="69" t="s">
        <v>1403</v>
      </c>
      <c r="I52" s="73" t="s">
        <v>845</v>
      </c>
      <c r="J52" s="73" t="s">
        <v>573</v>
      </c>
      <c r="K52" s="69" t="s">
        <v>1541</v>
      </c>
      <c r="L52" s="69" t="s">
        <v>1001</v>
      </c>
      <c r="M52" s="69" t="s">
        <v>582</v>
      </c>
      <c r="N52" s="69" t="s">
        <v>1441</v>
      </c>
      <c r="O52" s="69" t="s">
        <v>570</v>
      </c>
      <c r="P52" s="69" t="s">
        <v>959</v>
      </c>
      <c r="Q52" s="69" t="s">
        <v>1410</v>
      </c>
      <c r="R52" s="69" t="s">
        <v>1203</v>
      </c>
      <c r="S52" s="69"/>
      <c r="T52" s="69"/>
      <c r="U52" s="69" t="s">
        <v>1591</v>
      </c>
      <c r="V52" s="71" t="s">
        <v>1555</v>
      </c>
      <c r="W52" s="74" t="s">
        <v>766</v>
      </c>
    </row>
    <row r="53" spans="1:23" ht="51" x14ac:dyDescent="0.15">
      <c r="A53" s="182"/>
      <c r="B53" s="166"/>
      <c r="C53" s="171"/>
      <c r="D53" s="67" t="s">
        <v>939</v>
      </c>
      <c r="E53" s="68" t="s">
        <v>1904</v>
      </c>
      <c r="F53" s="68" t="s">
        <v>1000</v>
      </c>
      <c r="G53" s="69" t="s">
        <v>1423</v>
      </c>
      <c r="H53" s="69" t="s">
        <v>1403</v>
      </c>
      <c r="I53" s="73" t="s">
        <v>845</v>
      </c>
      <c r="J53" s="73" t="s">
        <v>573</v>
      </c>
      <c r="K53" s="69" t="s">
        <v>1541</v>
      </c>
      <c r="L53" s="69" t="s">
        <v>1001</v>
      </c>
      <c r="M53" s="69" t="s">
        <v>582</v>
      </c>
      <c r="N53" s="69" t="s">
        <v>1441</v>
      </c>
      <c r="O53" s="69" t="s">
        <v>82</v>
      </c>
      <c r="P53" s="69" t="s">
        <v>1000</v>
      </c>
      <c r="Q53" s="69" t="s">
        <v>140</v>
      </c>
      <c r="R53" s="69" t="s">
        <v>1315</v>
      </c>
      <c r="S53" s="69"/>
      <c r="T53" s="69"/>
      <c r="U53" s="69" t="s">
        <v>1591</v>
      </c>
      <c r="V53" s="71" t="s">
        <v>1555</v>
      </c>
      <c r="W53" s="74" t="s">
        <v>766</v>
      </c>
    </row>
    <row r="54" spans="1:23" ht="38.25" x14ac:dyDescent="0.15">
      <c r="A54" s="182"/>
      <c r="B54" s="166"/>
      <c r="C54" s="171"/>
      <c r="D54" s="67" t="s">
        <v>939</v>
      </c>
      <c r="E54" s="68" t="s">
        <v>1826</v>
      </c>
      <c r="F54" s="68" t="s">
        <v>112</v>
      </c>
      <c r="G54" s="69" t="s">
        <v>1423</v>
      </c>
      <c r="H54" s="69" t="s">
        <v>1403</v>
      </c>
      <c r="I54" s="73" t="s">
        <v>845</v>
      </c>
      <c r="J54" s="73" t="s">
        <v>573</v>
      </c>
      <c r="K54" s="69" t="s">
        <v>1541</v>
      </c>
      <c r="L54" s="69" t="s">
        <v>1001</v>
      </c>
      <c r="M54" s="69" t="s">
        <v>582</v>
      </c>
      <c r="N54" s="69" t="s">
        <v>1441</v>
      </c>
      <c r="O54" s="69" t="s">
        <v>1509</v>
      </c>
      <c r="P54" s="69" t="s">
        <v>112</v>
      </c>
      <c r="Q54" s="69" t="s">
        <v>1486</v>
      </c>
      <c r="R54" s="69" t="s">
        <v>517</v>
      </c>
      <c r="S54" s="69"/>
      <c r="T54" s="69"/>
      <c r="U54" s="69" t="s">
        <v>1591</v>
      </c>
      <c r="V54" s="71" t="s">
        <v>1572</v>
      </c>
      <c r="W54" s="72"/>
    </row>
    <row r="55" spans="1:23" ht="38.25" x14ac:dyDescent="0.15">
      <c r="A55" s="182"/>
      <c r="B55" s="166"/>
      <c r="C55" s="171"/>
      <c r="D55" s="67" t="s">
        <v>939</v>
      </c>
      <c r="E55" s="68" t="s">
        <v>1797</v>
      </c>
      <c r="F55" s="68" t="s">
        <v>1393</v>
      </c>
      <c r="G55" s="69" t="s">
        <v>1423</v>
      </c>
      <c r="H55" s="69" t="s">
        <v>1403</v>
      </c>
      <c r="I55" s="73" t="s">
        <v>845</v>
      </c>
      <c r="J55" s="73" t="s">
        <v>573</v>
      </c>
      <c r="K55" s="69" t="s">
        <v>1541</v>
      </c>
      <c r="L55" s="69" t="s">
        <v>1001</v>
      </c>
      <c r="M55" s="69" t="s">
        <v>582</v>
      </c>
      <c r="N55" s="69" t="s">
        <v>1441</v>
      </c>
      <c r="O55" s="69" t="s">
        <v>1509</v>
      </c>
      <c r="P55" s="69" t="s">
        <v>1393</v>
      </c>
      <c r="Q55" s="69" t="s">
        <v>1486</v>
      </c>
      <c r="R55" s="69" t="s">
        <v>517</v>
      </c>
      <c r="S55" s="69"/>
      <c r="T55" s="69"/>
      <c r="U55" s="69" t="s">
        <v>1591</v>
      </c>
      <c r="V55" s="71" t="s">
        <v>1572</v>
      </c>
      <c r="W55" s="72"/>
    </row>
    <row r="56" spans="1:23" ht="38.25" x14ac:dyDescent="0.15">
      <c r="A56" s="182"/>
      <c r="B56" s="166"/>
      <c r="C56" s="171"/>
      <c r="D56" s="67" t="s">
        <v>939</v>
      </c>
      <c r="E56" s="68" t="s">
        <v>2576</v>
      </c>
      <c r="F56" s="68" t="s">
        <v>107</v>
      </c>
      <c r="G56" s="69" t="s">
        <v>1423</v>
      </c>
      <c r="H56" s="69" t="s">
        <v>1403</v>
      </c>
      <c r="I56" s="73" t="s">
        <v>845</v>
      </c>
      <c r="J56" s="73" t="s">
        <v>573</v>
      </c>
      <c r="K56" s="69" t="s">
        <v>1541</v>
      </c>
      <c r="L56" s="69" t="s">
        <v>1001</v>
      </c>
      <c r="M56" s="69" t="s">
        <v>582</v>
      </c>
      <c r="N56" s="69" t="s">
        <v>1441</v>
      </c>
      <c r="O56" s="69" t="s">
        <v>679</v>
      </c>
      <c r="P56" s="69" t="s">
        <v>107</v>
      </c>
      <c r="Q56" s="69" t="s">
        <v>1536</v>
      </c>
      <c r="R56" s="69" t="s">
        <v>1367</v>
      </c>
      <c r="S56" s="69"/>
      <c r="T56" s="69"/>
      <c r="U56" s="69" t="s">
        <v>1591</v>
      </c>
      <c r="V56" s="71" t="s">
        <v>1572</v>
      </c>
      <c r="W56" s="72"/>
    </row>
    <row r="57" spans="1:23" ht="25.5" x14ac:dyDescent="0.15">
      <c r="A57" s="182"/>
      <c r="B57" s="166"/>
      <c r="C57" s="171"/>
      <c r="D57" s="67" t="s">
        <v>1568</v>
      </c>
      <c r="E57" s="68" t="s">
        <v>1721</v>
      </c>
      <c r="F57" s="68" t="s">
        <v>2679</v>
      </c>
      <c r="G57" s="69" t="s">
        <v>1423</v>
      </c>
      <c r="H57" s="69" t="s">
        <v>1403</v>
      </c>
      <c r="I57" s="73" t="s">
        <v>845</v>
      </c>
      <c r="J57" s="73" t="s">
        <v>573</v>
      </c>
      <c r="K57" s="69" t="s">
        <v>1541</v>
      </c>
      <c r="L57" s="69" t="s">
        <v>1001</v>
      </c>
      <c r="M57" s="69" t="s">
        <v>582</v>
      </c>
      <c r="N57" s="69" t="s">
        <v>1441</v>
      </c>
      <c r="O57" s="69" t="s">
        <v>679</v>
      </c>
      <c r="P57" s="69" t="s">
        <v>2679</v>
      </c>
      <c r="Q57" s="69" t="s">
        <v>1536</v>
      </c>
      <c r="R57" s="69" t="s">
        <v>1367</v>
      </c>
      <c r="S57" s="69"/>
      <c r="T57" s="69"/>
      <c r="U57" s="69" t="s">
        <v>1591</v>
      </c>
      <c r="V57" s="71" t="s">
        <v>1572</v>
      </c>
      <c r="W57" s="72"/>
    </row>
    <row r="58" spans="1:23" ht="25.5" x14ac:dyDescent="0.15">
      <c r="A58" s="182"/>
      <c r="B58" s="166"/>
      <c r="C58" s="171"/>
      <c r="D58" s="67" t="s">
        <v>1568</v>
      </c>
      <c r="E58" s="68" t="s">
        <v>2577</v>
      </c>
      <c r="F58" s="68" t="s">
        <v>1116</v>
      </c>
      <c r="G58" s="69" t="s">
        <v>1424</v>
      </c>
      <c r="H58" s="69" t="s">
        <v>1878</v>
      </c>
      <c r="I58" s="73" t="s">
        <v>845</v>
      </c>
      <c r="J58" s="73" t="s">
        <v>573</v>
      </c>
      <c r="K58" s="69" t="s">
        <v>1541</v>
      </c>
      <c r="L58" s="69" t="s">
        <v>1001</v>
      </c>
      <c r="M58" s="69" t="s">
        <v>582</v>
      </c>
      <c r="N58" s="69" t="s">
        <v>1441</v>
      </c>
      <c r="O58" s="69" t="s">
        <v>553</v>
      </c>
      <c r="P58" s="69" t="s">
        <v>1116</v>
      </c>
      <c r="Q58" s="69" t="s">
        <v>1407</v>
      </c>
      <c r="R58" s="69" t="s">
        <v>1328</v>
      </c>
      <c r="S58" s="69"/>
      <c r="T58" s="69"/>
      <c r="U58" s="69" t="s">
        <v>1591</v>
      </c>
      <c r="V58" s="71" t="s">
        <v>1572</v>
      </c>
      <c r="W58" s="72"/>
    </row>
    <row r="59" spans="1:23" ht="25.5" x14ac:dyDescent="0.15">
      <c r="A59" s="182"/>
      <c r="B59" s="166"/>
      <c r="C59" s="171"/>
      <c r="D59" s="67" t="s">
        <v>1568</v>
      </c>
      <c r="E59" s="68" t="s">
        <v>2592</v>
      </c>
      <c r="F59" s="68" t="s">
        <v>1330</v>
      </c>
      <c r="G59" s="69" t="s">
        <v>1424</v>
      </c>
      <c r="H59" s="69" t="s">
        <v>1878</v>
      </c>
      <c r="I59" s="73" t="s">
        <v>845</v>
      </c>
      <c r="J59" s="73" t="s">
        <v>573</v>
      </c>
      <c r="K59" s="69" t="s">
        <v>1541</v>
      </c>
      <c r="L59" s="69" t="s">
        <v>1001</v>
      </c>
      <c r="M59" s="69" t="s">
        <v>582</v>
      </c>
      <c r="N59" s="69" t="s">
        <v>1441</v>
      </c>
      <c r="O59" s="69" t="s">
        <v>553</v>
      </c>
      <c r="P59" s="69" t="s">
        <v>1330</v>
      </c>
      <c r="Q59" s="69" t="s">
        <v>1407</v>
      </c>
      <c r="R59" s="69" t="s">
        <v>1328</v>
      </c>
      <c r="S59" s="69"/>
      <c r="T59" s="69"/>
      <c r="U59" s="69" t="s">
        <v>1591</v>
      </c>
      <c r="V59" s="71" t="s">
        <v>1572</v>
      </c>
      <c r="W59" s="72"/>
    </row>
    <row r="60" spans="1:23" ht="25.5" x14ac:dyDescent="0.15">
      <c r="A60" s="182"/>
      <c r="B60" s="166"/>
      <c r="C60" s="171"/>
      <c r="D60" s="67" t="s">
        <v>939</v>
      </c>
      <c r="E60" s="68" t="s">
        <v>1895</v>
      </c>
      <c r="F60" s="68" t="s">
        <v>1270</v>
      </c>
      <c r="G60" s="69" t="s">
        <v>1424</v>
      </c>
      <c r="H60" s="69" t="s">
        <v>1878</v>
      </c>
      <c r="I60" s="73" t="s">
        <v>845</v>
      </c>
      <c r="J60" s="73" t="s">
        <v>573</v>
      </c>
      <c r="K60" s="69" t="s">
        <v>1541</v>
      </c>
      <c r="L60" s="69" t="s">
        <v>1001</v>
      </c>
      <c r="M60" s="69" t="s">
        <v>582</v>
      </c>
      <c r="N60" s="69" t="s">
        <v>1441</v>
      </c>
      <c r="O60" s="69" t="s">
        <v>553</v>
      </c>
      <c r="P60" s="69" t="s">
        <v>1270</v>
      </c>
      <c r="Q60" s="69" t="s">
        <v>1407</v>
      </c>
      <c r="R60" s="69" t="s">
        <v>1328</v>
      </c>
      <c r="S60" s="69"/>
      <c r="T60" s="69"/>
      <c r="U60" s="69" t="s">
        <v>1591</v>
      </c>
      <c r="V60" s="71" t="s">
        <v>1572</v>
      </c>
      <c r="W60" s="72"/>
    </row>
    <row r="61" spans="1:23" ht="25.5" x14ac:dyDescent="0.15">
      <c r="A61" s="182"/>
      <c r="B61" s="166"/>
      <c r="C61" s="171"/>
      <c r="D61" s="67" t="s">
        <v>939</v>
      </c>
      <c r="E61" s="68" t="s">
        <v>1932</v>
      </c>
      <c r="F61" s="68" t="s">
        <v>1180</v>
      </c>
      <c r="G61" s="69" t="s">
        <v>1424</v>
      </c>
      <c r="H61" s="69" t="s">
        <v>1878</v>
      </c>
      <c r="I61" s="73" t="s">
        <v>845</v>
      </c>
      <c r="J61" s="73" t="s">
        <v>573</v>
      </c>
      <c r="K61" s="69" t="s">
        <v>1541</v>
      </c>
      <c r="L61" s="69" t="s">
        <v>1001</v>
      </c>
      <c r="M61" s="69" t="s">
        <v>582</v>
      </c>
      <c r="N61" s="69" t="s">
        <v>1441</v>
      </c>
      <c r="O61" s="69" t="s">
        <v>553</v>
      </c>
      <c r="P61" s="69" t="s">
        <v>1180</v>
      </c>
      <c r="Q61" s="69" t="s">
        <v>1407</v>
      </c>
      <c r="R61" s="69" t="s">
        <v>1328</v>
      </c>
      <c r="S61" s="69"/>
      <c r="T61" s="69"/>
      <c r="U61" s="69" t="s">
        <v>1591</v>
      </c>
      <c r="V61" s="71" t="s">
        <v>1572</v>
      </c>
      <c r="W61" s="72"/>
    </row>
    <row r="62" spans="1:23" ht="25.5" x14ac:dyDescent="0.15">
      <c r="A62" s="182"/>
      <c r="B62" s="166"/>
      <c r="C62" s="171"/>
      <c r="D62" s="67" t="s">
        <v>939</v>
      </c>
      <c r="E62" s="68" t="s">
        <v>1892</v>
      </c>
      <c r="F62" s="68" t="s">
        <v>1212</v>
      </c>
      <c r="G62" s="69" t="s">
        <v>1424</v>
      </c>
      <c r="H62" s="69" t="s">
        <v>1878</v>
      </c>
      <c r="I62" s="73" t="s">
        <v>845</v>
      </c>
      <c r="J62" s="73" t="s">
        <v>573</v>
      </c>
      <c r="K62" s="69" t="s">
        <v>1541</v>
      </c>
      <c r="L62" s="69" t="s">
        <v>1001</v>
      </c>
      <c r="M62" s="69" t="s">
        <v>582</v>
      </c>
      <c r="N62" s="69" t="s">
        <v>1441</v>
      </c>
      <c r="O62" s="69" t="s">
        <v>553</v>
      </c>
      <c r="P62" s="69" t="s">
        <v>1212</v>
      </c>
      <c r="Q62" s="69" t="s">
        <v>1407</v>
      </c>
      <c r="R62" s="69" t="s">
        <v>1328</v>
      </c>
      <c r="S62" s="69"/>
      <c r="T62" s="69"/>
      <c r="U62" s="69" t="s">
        <v>1591</v>
      </c>
      <c r="V62" s="71" t="s">
        <v>1572</v>
      </c>
      <c r="W62" s="72"/>
    </row>
    <row r="63" spans="1:23" ht="25.5" x14ac:dyDescent="0.15">
      <c r="A63" s="182"/>
      <c r="B63" s="166"/>
      <c r="C63" s="171"/>
      <c r="D63" s="67" t="s">
        <v>939</v>
      </c>
      <c r="E63" s="68" t="s">
        <v>1934</v>
      </c>
      <c r="F63" s="68" t="s">
        <v>745</v>
      </c>
      <c r="G63" s="69" t="s">
        <v>1424</v>
      </c>
      <c r="H63" s="69" t="s">
        <v>1878</v>
      </c>
      <c r="I63" s="73" t="s">
        <v>845</v>
      </c>
      <c r="J63" s="73" t="s">
        <v>573</v>
      </c>
      <c r="K63" s="69" t="s">
        <v>1541</v>
      </c>
      <c r="L63" s="69" t="s">
        <v>1001</v>
      </c>
      <c r="M63" s="69" t="s">
        <v>582</v>
      </c>
      <c r="N63" s="69" t="s">
        <v>1441</v>
      </c>
      <c r="O63" s="69" t="s">
        <v>553</v>
      </c>
      <c r="P63" s="69" t="s">
        <v>745</v>
      </c>
      <c r="Q63" s="69" t="s">
        <v>1407</v>
      </c>
      <c r="R63" s="69" t="s">
        <v>1328</v>
      </c>
      <c r="S63" s="69"/>
      <c r="T63" s="69"/>
      <c r="U63" s="69" t="s">
        <v>1591</v>
      </c>
      <c r="V63" s="71" t="s">
        <v>1572</v>
      </c>
      <c r="W63" s="72"/>
    </row>
    <row r="64" spans="1:23" ht="25.5" x14ac:dyDescent="0.15">
      <c r="A64" s="182"/>
      <c r="B64" s="166"/>
      <c r="C64" s="171"/>
      <c r="D64" s="67" t="s">
        <v>939</v>
      </c>
      <c r="E64" s="68" t="s">
        <v>1791</v>
      </c>
      <c r="F64" s="68" t="s">
        <v>1024</v>
      </c>
      <c r="G64" s="69" t="s">
        <v>640</v>
      </c>
      <c r="H64" s="69" t="s">
        <v>1868</v>
      </c>
      <c r="I64" s="73" t="s">
        <v>845</v>
      </c>
      <c r="J64" s="73" t="s">
        <v>573</v>
      </c>
      <c r="K64" s="69" t="s">
        <v>1541</v>
      </c>
      <c r="L64" s="69" t="s">
        <v>1001</v>
      </c>
      <c r="M64" s="69" t="s">
        <v>582</v>
      </c>
      <c r="N64" s="69" t="s">
        <v>1441</v>
      </c>
      <c r="O64" s="69" t="s">
        <v>553</v>
      </c>
      <c r="P64" s="69" t="s">
        <v>1024</v>
      </c>
      <c r="Q64" s="69" t="s">
        <v>1407</v>
      </c>
      <c r="R64" s="69" t="s">
        <v>1328</v>
      </c>
      <c r="S64" s="69"/>
      <c r="T64" s="69"/>
      <c r="U64" s="69" t="s">
        <v>1591</v>
      </c>
      <c r="V64" s="71" t="s">
        <v>1572</v>
      </c>
      <c r="W64" s="72"/>
    </row>
    <row r="65" spans="1:23" ht="25.5" x14ac:dyDescent="0.15">
      <c r="A65" s="182"/>
      <c r="B65" s="166"/>
      <c r="C65" s="171"/>
      <c r="D65" s="67" t="s">
        <v>939</v>
      </c>
      <c r="E65" s="68" t="s">
        <v>1906</v>
      </c>
      <c r="F65" s="68" t="s">
        <v>1234</v>
      </c>
      <c r="G65" s="69" t="s">
        <v>640</v>
      </c>
      <c r="H65" s="69" t="s">
        <v>1868</v>
      </c>
      <c r="I65" s="73" t="s">
        <v>845</v>
      </c>
      <c r="J65" s="73" t="s">
        <v>573</v>
      </c>
      <c r="K65" s="69" t="s">
        <v>1541</v>
      </c>
      <c r="L65" s="69" t="s">
        <v>1001</v>
      </c>
      <c r="M65" s="69" t="s">
        <v>582</v>
      </c>
      <c r="N65" s="69" t="s">
        <v>1441</v>
      </c>
      <c r="O65" s="69" t="s">
        <v>553</v>
      </c>
      <c r="P65" s="69" t="s">
        <v>1234</v>
      </c>
      <c r="Q65" s="69" t="s">
        <v>1407</v>
      </c>
      <c r="R65" s="69" t="s">
        <v>1328</v>
      </c>
      <c r="S65" s="69"/>
      <c r="T65" s="69"/>
      <c r="U65" s="69" t="s">
        <v>1591</v>
      </c>
      <c r="V65" s="71" t="s">
        <v>1572</v>
      </c>
      <c r="W65" s="72"/>
    </row>
    <row r="66" spans="1:23" ht="25.5" x14ac:dyDescent="0.15">
      <c r="A66" s="182"/>
      <c r="B66" s="166"/>
      <c r="C66" s="171"/>
      <c r="D66" s="67" t="s">
        <v>939</v>
      </c>
      <c r="E66" s="68" t="s">
        <v>2028</v>
      </c>
      <c r="F66" s="68" t="s">
        <v>1187</v>
      </c>
      <c r="G66" s="69" t="s">
        <v>640</v>
      </c>
      <c r="H66" s="69" t="s">
        <v>1868</v>
      </c>
      <c r="I66" s="73" t="s">
        <v>845</v>
      </c>
      <c r="J66" s="73" t="s">
        <v>573</v>
      </c>
      <c r="K66" s="69" t="s">
        <v>1541</v>
      </c>
      <c r="L66" s="69" t="s">
        <v>1001</v>
      </c>
      <c r="M66" s="69" t="s">
        <v>582</v>
      </c>
      <c r="N66" s="69" t="s">
        <v>1441</v>
      </c>
      <c r="O66" s="69" t="s">
        <v>553</v>
      </c>
      <c r="P66" s="69" t="s">
        <v>1187</v>
      </c>
      <c r="Q66" s="69" t="s">
        <v>1407</v>
      </c>
      <c r="R66" s="69" t="s">
        <v>1328</v>
      </c>
      <c r="S66" s="69"/>
      <c r="T66" s="69"/>
      <c r="U66" s="69" t="s">
        <v>1591</v>
      </c>
      <c r="V66" s="71" t="s">
        <v>1572</v>
      </c>
      <c r="W66" s="72"/>
    </row>
    <row r="67" spans="1:23" ht="25.5" x14ac:dyDescent="0.15">
      <c r="A67" s="182"/>
      <c r="B67" s="166"/>
      <c r="C67" s="171"/>
      <c r="D67" s="67" t="s">
        <v>939</v>
      </c>
      <c r="E67" s="68" t="s">
        <v>2563</v>
      </c>
      <c r="F67" s="68" t="s">
        <v>1102</v>
      </c>
      <c r="G67" s="69" t="s">
        <v>640</v>
      </c>
      <c r="H67" s="69" t="s">
        <v>1868</v>
      </c>
      <c r="I67" s="73" t="s">
        <v>845</v>
      </c>
      <c r="J67" s="73" t="s">
        <v>573</v>
      </c>
      <c r="K67" s="69" t="s">
        <v>1541</v>
      </c>
      <c r="L67" s="69" t="s">
        <v>1001</v>
      </c>
      <c r="M67" s="69" t="s">
        <v>582</v>
      </c>
      <c r="N67" s="69" t="s">
        <v>1441</v>
      </c>
      <c r="O67" s="69" t="s">
        <v>553</v>
      </c>
      <c r="P67" s="69" t="s">
        <v>1102</v>
      </c>
      <c r="Q67" s="69" t="s">
        <v>1407</v>
      </c>
      <c r="R67" s="69" t="s">
        <v>1328</v>
      </c>
      <c r="S67" s="69"/>
      <c r="T67" s="69"/>
      <c r="U67" s="69" t="s">
        <v>1591</v>
      </c>
      <c r="V67" s="71" t="s">
        <v>1572</v>
      </c>
      <c r="W67" s="72"/>
    </row>
    <row r="68" spans="1:23" ht="25.5" x14ac:dyDescent="0.15">
      <c r="A68" s="182"/>
      <c r="B68" s="166"/>
      <c r="C68" s="171"/>
      <c r="D68" s="67" t="s">
        <v>939</v>
      </c>
      <c r="E68" s="68" t="s">
        <v>1814</v>
      </c>
      <c r="F68" s="68" t="s">
        <v>1223</v>
      </c>
      <c r="G68" s="69" t="s">
        <v>640</v>
      </c>
      <c r="H68" s="69" t="s">
        <v>1868</v>
      </c>
      <c r="I68" s="73" t="s">
        <v>845</v>
      </c>
      <c r="J68" s="73" t="s">
        <v>573</v>
      </c>
      <c r="K68" s="69" t="s">
        <v>1541</v>
      </c>
      <c r="L68" s="69" t="s">
        <v>1001</v>
      </c>
      <c r="M68" s="69" t="s">
        <v>582</v>
      </c>
      <c r="N68" s="69" t="s">
        <v>1441</v>
      </c>
      <c r="O68" s="69" t="s">
        <v>553</v>
      </c>
      <c r="P68" s="69" t="s">
        <v>1223</v>
      </c>
      <c r="Q68" s="69" t="s">
        <v>1407</v>
      </c>
      <c r="R68" s="69" t="s">
        <v>1328</v>
      </c>
      <c r="S68" s="69"/>
      <c r="T68" s="69"/>
      <c r="U68" s="69" t="s">
        <v>1591</v>
      </c>
      <c r="V68" s="71" t="s">
        <v>1572</v>
      </c>
      <c r="W68" s="72"/>
    </row>
    <row r="69" spans="1:23" ht="25.5" x14ac:dyDescent="0.15">
      <c r="A69" s="182"/>
      <c r="B69" s="166"/>
      <c r="C69" s="171"/>
      <c r="D69" s="67" t="s">
        <v>939</v>
      </c>
      <c r="E69" s="68" t="s">
        <v>1673</v>
      </c>
      <c r="F69" s="68" t="s">
        <v>1200</v>
      </c>
      <c r="G69" s="69" t="s">
        <v>640</v>
      </c>
      <c r="H69" s="69" t="s">
        <v>1868</v>
      </c>
      <c r="I69" s="73" t="s">
        <v>845</v>
      </c>
      <c r="J69" s="73" t="s">
        <v>573</v>
      </c>
      <c r="K69" s="69" t="s">
        <v>1541</v>
      </c>
      <c r="L69" s="69" t="s">
        <v>1001</v>
      </c>
      <c r="M69" s="69" t="s">
        <v>582</v>
      </c>
      <c r="N69" s="69" t="s">
        <v>1441</v>
      </c>
      <c r="O69" s="69" t="s">
        <v>553</v>
      </c>
      <c r="P69" s="69" t="s">
        <v>1200</v>
      </c>
      <c r="Q69" s="69" t="s">
        <v>1407</v>
      </c>
      <c r="R69" s="69" t="s">
        <v>1328</v>
      </c>
      <c r="S69" s="69"/>
      <c r="T69" s="69"/>
      <c r="U69" s="69" t="s">
        <v>1591</v>
      </c>
      <c r="V69" s="71" t="s">
        <v>1572</v>
      </c>
      <c r="W69" s="72"/>
    </row>
    <row r="70" spans="1:23" ht="63.75" x14ac:dyDescent="0.15">
      <c r="A70" s="182"/>
      <c r="B70" s="166"/>
      <c r="C70" s="171"/>
      <c r="D70" s="67" t="s">
        <v>939</v>
      </c>
      <c r="E70" s="68" t="s">
        <v>1948</v>
      </c>
      <c r="F70" s="68" t="s">
        <v>765</v>
      </c>
      <c r="G70" s="69" t="s">
        <v>2694</v>
      </c>
      <c r="H70" s="69" t="s">
        <v>1318</v>
      </c>
      <c r="I70" s="73" t="s">
        <v>845</v>
      </c>
      <c r="J70" s="73" t="s">
        <v>573</v>
      </c>
      <c r="K70" s="69" t="s">
        <v>1541</v>
      </c>
      <c r="L70" s="69" t="s">
        <v>1001</v>
      </c>
      <c r="M70" s="69" t="s">
        <v>582</v>
      </c>
      <c r="N70" s="69" t="s">
        <v>1441</v>
      </c>
      <c r="O70" s="69" t="s">
        <v>1535</v>
      </c>
      <c r="P70" s="69" t="s">
        <v>765</v>
      </c>
      <c r="Q70" s="69" t="s">
        <v>547</v>
      </c>
      <c r="R70" s="69" t="s">
        <v>1338</v>
      </c>
      <c r="S70" s="69"/>
      <c r="T70" s="69"/>
      <c r="U70" s="69" t="s">
        <v>1591</v>
      </c>
      <c r="V70" s="71" t="s">
        <v>1572</v>
      </c>
      <c r="W70" s="72"/>
    </row>
    <row r="71" spans="1:23" ht="63.75" x14ac:dyDescent="0.15">
      <c r="A71" s="182"/>
      <c r="B71" s="166"/>
      <c r="C71" s="171"/>
      <c r="D71" s="67" t="s">
        <v>1568</v>
      </c>
      <c r="E71" s="68" t="s">
        <v>1821</v>
      </c>
      <c r="F71" s="68" t="s">
        <v>775</v>
      </c>
      <c r="G71" s="69" t="s">
        <v>2694</v>
      </c>
      <c r="H71" s="69" t="s">
        <v>1318</v>
      </c>
      <c r="I71" s="73" t="s">
        <v>845</v>
      </c>
      <c r="J71" s="73" t="s">
        <v>573</v>
      </c>
      <c r="K71" s="69" t="s">
        <v>1541</v>
      </c>
      <c r="L71" s="69" t="s">
        <v>1001</v>
      </c>
      <c r="M71" s="69" t="s">
        <v>582</v>
      </c>
      <c r="N71" s="69" t="s">
        <v>1441</v>
      </c>
      <c r="O71" s="69" t="s">
        <v>1535</v>
      </c>
      <c r="P71" s="69" t="s">
        <v>775</v>
      </c>
      <c r="Q71" s="69" t="s">
        <v>547</v>
      </c>
      <c r="R71" s="69" t="s">
        <v>1338</v>
      </c>
      <c r="S71" s="69"/>
      <c r="T71" s="69"/>
      <c r="U71" s="69" t="s">
        <v>1591</v>
      </c>
      <c r="V71" s="71" t="s">
        <v>1572</v>
      </c>
      <c r="W71" s="72"/>
    </row>
    <row r="72" spans="1:23" ht="25.5" customHeight="1" x14ac:dyDescent="0.15">
      <c r="A72" s="182"/>
      <c r="B72" s="166"/>
      <c r="C72" s="171" t="s">
        <v>327</v>
      </c>
      <c r="D72" s="67" t="s">
        <v>1568</v>
      </c>
      <c r="E72" s="68" t="s">
        <v>1806</v>
      </c>
      <c r="F72" s="68" t="s">
        <v>2697</v>
      </c>
      <c r="G72" s="69" t="s">
        <v>1438</v>
      </c>
      <c r="H72" s="69" t="s">
        <v>1229</v>
      </c>
      <c r="I72" s="75"/>
      <c r="J72" s="69"/>
      <c r="K72" s="69"/>
      <c r="L72" s="69" t="s">
        <v>2564</v>
      </c>
      <c r="M72" s="69"/>
      <c r="N72" s="69"/>
      <c r="O72" s="69" t="s">
        <v>1452</v>
      </c>
      <c r="P72" s="69" t="s">
        <v>2697</v>
      </c>
      <c r="Q72" s="69" t="s">
        <v>1461</v>
      </c>
      <c r="R72" s="69" t="s">
        <v>116</v>
      </c>
      <c r="S72" s="69"/>
      <c r="T72" s="69"/>
      <c r="U72" s="69" t="s">
        <v>1591</v>
      </c>
      <c r="V72" s="71" t="s">
        <v>1572</v>
      </c>
      <c r="W72" s="72"/>
    </row>
    <row r="73" spans="1:23" ht="25.5" x14ac:dyDescent="0.15">
      <c r="A73" s="182"/>
      <c r="B73" s="166"/>
      <c r="C73" s="171"/>
      <c r="D73" s="67" t="s">
        <v>1568</v>
      </c>
      <c r="E73" s="68" t="s">
        <v>2558</v>
      </c>
      <c r="F73" s="68" t="s">
        <v>246</v>
      </c>
      <c r="G73" s="69" t="s">
        <v>1438</v>
      </c>
      <c r="H73" s="69" t="s">
        <v>1229</v>
      </c>
      <c r="I73" s="75"/>
      <c r="J73" s="69"/>
      <c r="K73" s="69"/>
      <c r="L73" s="69" t="s">
        <v>2564</v>
      </c>
      <c r="M73" s="69"/>
      <c r="N73" s="69"/>
      <c r="O73" s="69" t="s">
        <v>1452</v>
      </c>
      <c r="P73" s="69" t="s">
        <v>246</v>
      </c>
      <c r="Q73" s="69" t="s">
        <v>1461</v>
      </c>
      <c r="R73" s="69" t="s">
        <v>116</v>
      </c>
      <c r="S73" s="69"/>
      <c r="T73" s="69"/>
      <c r="U73" s="69" t="s">
        <v>1591</v>
      </c>
      <c r="V73" s="71" t="s">
        <v>1572</v>
      </c>
      <c r="W73" s="72"/>
    </row>
    <row r="74" spans="1:23" ht="25.5" x14ac:dyDescent="0.15">
      <c r="A74" s="182"/>
      <c r="B74" s="166"/>
      <c r="C74" s="171"/>
      <c r="D74" s="67" t="s">
        <v>1568</v>
      </c>
      <c r="E74" s="68" t="s">
        <v>2539</v>
      </c>
      <c r="F74" s="68" t="s">
        <v>183</v>
      </c>
      <c r="G74" s="69" t="s">
        <v>1438</v>
      </c>
      <c r="H74" s="69" t="s">
        <v>1229</v>
      </c>
      <c r="I74" s="75"/>
      <c r="J74" s="69"/>
      <c r="K74" s="69"/>
      <c r="L74" s="69" t="s">
        <v>2564</v>
      </c>
      <c r="M74" s="69"/>
      <c r="N74" s="69"/>
      <c r="O74" s="69" t="s">
        <v>1452</v>
      </c>
      <c r="P74" s="69" t="s">
        <v>183</v>
      </c>
      <c r="Q74" s="69" t="s">
        <v>1461</v>
      </c>
      <c r="R74" s="69" t="s">
        <v>116</v>
      </c>
      <c r="S74" s="69"/>
      <c r="T74" s="69"/>
      <c r="U74" s="69" t="s">
        <v>1591</v>
      </c>
      <c r="V74" s="71" t="s">
        <v>1572</v>
      </c>
      <c r="W74" s="72"/>
    </row>
    <row r="75" spans="1:23" ht="25.5" x14ac:dyDescent="0.15">
      <c r="A75" s="182"/>
      <c r="B75" s="166"/>
      <c r="C75" s="171"/>
      <c r="D75" s="67" t="s">
        <v>1568</v>
      </c>
      <c r="E75" s="68" t="s">
        <v>1830</v>
      </c>
      <c r="F75" s="68" t="s">
        <v>2698</v>
      </c>
      <c r="G75" s="69" t="s">
        <v>1438</v>
      </c>
      <c r="H75" s="69" t="s">
        <v>1229</v>
      </c>
      <c r="I75" s="75"/>
      <c r="J75" s="69"/>
      <c r="K75" s="69"/>
      <c r="L75" s="69" t="s">
        <v>2564</v>
      </c>
      <c r="M75" s="69"/>
      <c r="N75" s="69"/>
      <c r="O75" s="69" t="s">
        <v>1452</v>
      </c>
      <c r="P75" s="69" t="s">
        <v>2698</v>
      </c>
      <c r="Q75" s="69" t="s">
        <v>1461</v>
      </c>
      <c r="R75" s="69" t="s">
        <v>116</v>
      </c>
      <c r="S75" s="69"/>
      <c r="T75" s="69"/>
      <c r="U75" s="69" t="s">
        <v>1591</v>
      </c>
      <c r="V75" s="71" t="s">
        <v>1572</v>
      </c>
      <c r="W75" s="72"/>
    </row>
    <row r="76" spans="1:23" ht="25.5" x14ac:dyDescent="0.15">
      <c r="A76" s="182"/>
      <c r="B76" s="166"/>
      <c r="C76" s="171"/>
      <c r="D76" s="67" t="s">
        <v>1568</v>
      </c>
      <c r="E76" s="68" t="s">
        <v>2005</v>
      </c>
      <c r="F76" s="68" t="s">
        <v>287</v>
      </c>
      <c r="G76" s="69" t="s">
        <v>1438</v>
      </c>
      <c r="H76" s="69" t="s">
        <v>1229</v>
      </c>
      <c r="I76" s="75"/>
      <c r="J76" s="69"/>
      <c r="K76" s="69"/>
      <c r="L76" s="69" t="s">
        <v>2564</v>
      </c>
      <c r="M76" s="69"/>
      <c r="N76" s="69"/>
      <c r="O76" s="69" t="s">
        <v>1452</v>
      </c>
      <c r="P76" s="69" t="s">
        <v>287</v>
      </c>
      <c r="Q76" s="69" t="s">
        <v>1461</v>
      </c>
      <c r="R76" s="69" t="s">
        <v>116</v>
      </c>
      <c r="S76" s="69"/>
      <c r="T76" s="69"/>
      <c r="U76" s="69" t="s">
        <v>1591</v>
      </c>
      <c r="V76" s="71" t="s">
        <v>1572</v>
      </c>
      <c r="W76" s="72"/>
    </row>
    <row r="77" spans="1:23" ht="25.5" x14ac:dyDescent="0.15">
      <c r="A77" s="182"/>
      <c r="B77" s="166"/>
      <c r="C77" s="171"/>
      <c r="D77" s="67" t="s">
        <v>1568</v>
      </c>
      <c r="E77" s="68" t="s">
        <v>1690</v>
      </c>
      <c r="F77" s="68" t="s">
        <v>178</v>
      </c>
      <c r="G77" s="69" t="s">
        <v>1438</v>
      </c>
      <c r="H77" s="69" t="s">
        <v>1229</v>
      </c>
      <c r="I77" s="75"/>
      <c r="J77" s="69"/>
      <c r="K77" s="69"/>
      <c r="L77" s="69" t="s">
        <v>2564</v>
      </c>
      <c r="M77" s="69"/>
      <c r="N77" s="69"/>
      <c r="O77" s="69" t="s">
        <v>1452</v>
      </c>
      <c r="P77" s="69" t="s">
        <v>178</v>
      </c>
      <c r="Q77" s="69" t="s">
        <v>1461</v>
      </c>
      <c r="R77" s="69" t="s">
        <v>116</v>
      </c>
      <c r="S77" s="69"/>
      <c r="T77" s="69"/>
      <c r="U77" s="69" t="s">
        <v>1591</v>
      </c>
      <c r="V77" s="71" t="s">
        <v>1572</v>
      </c>
      <c r="W77" s="72"/>
    </row>
    <row r="78" spans="1:23" ht="38.25" x14ac:dyDescent="0.15">
      <c r="A78" s="182"/>
      <c r="B78" s="166"/>
      <c r="C78" s="171" t="s">
        <v>1040</v>
      </c>
      <c r="D78" s="67" t="s">
        <v>1568</v>
      </c>
      <c r="E78" s="68" t="s">
        <v>1697</v>
      </c>
      <c r="F78" s="68" t="s">
        <v>1357</v>
      </c>
      <c r="G78" s="69" t="s">
        <v>676</v>
      </c>
      <c r="H78" s="69" t="s">
        <v>283</v>
      </c>
      <c r="I78" s="73" t="s">
        <v>827</v>
      </c>
      <c r="J78" s="73" t="s">
        <v>1837</v>
      </c>
      <c r="K78" s="69" t="s">
        <v>282</v>
      </c>
      <c r="L78" s="69" t="s">
        <v>2653</v>
      </c>
      <c r="M78" s="69" t="s">
        <v>534</v>
      </c>
      <c r="N78" s="69" t="s">
        <v>590</v>
      </c>
      <c r="O78" s="69" t="s">
        <v>1465</v>
      </c>
      <c r="P78" s="69" t="s">
        <v>1357</v>
      </c>
      <c r="Q78" s="69" t="s">
        <v>902</v>
      </c>
      <c r="R78" s="69" t="s">
        <v>506</v>
      </c>
      <c r="S78" s="69"/>
      <c r="T78" s="69"/>
      <c r="U78" s="69" t="s">
        <v>1591</v>
      </c>
      <c r="V78" s="71" t="s">
        <v>1572</v>
      </c>
      <c r="W78" s="72"/>
    </row>
    <row r="79" spans="1:23" ht="38.25" x14ac:dyDescent="0.15">
      <c r="A79" s="182"/>
      <c r="B79" s="166"/>
      <c r="C79" s="171"/>
      <c r="D79" s="67" t="s">
        <v>1568</v>
      </c>
      <c r="E79" s="68" t="s">
        <v>1912</v>
      </c>
      <c r="F79" s="68" t="s">
        <v>106</v>
      </c>
      <c r="G79" s="69" t="s">
        <v>676</v>
      </c>
      <c r="H79" s="69" t="s">
        <v>283</v>
      </c>
      <c r="I79" s="73" t="s">
        <v>827</v>
      </c>
      <c r="J79" s="73" t="s">
        <v>1837</v>
      </c>
      <c r="K79" s="69" t="s">
        <v>282</v>
      </c>
      <c r="L79" s="69" t="s">
        <v>2653</v>
      </c>
      <c r="M79" s="69" t="s">
        <v>534</v>
      </c>
      <c r="N79" s="69" t="s">
        <v>590</v>
      </c>
      <c r="O79" s="69" t="s">
        <v>1465</v>
      </c>
      <c r="P79" s="69" t="s">
        <v>106</v>
      </c>
      <c r="Q79" s="69" t="s">
        <v>902</v>
      </c>
      <c r="R79" s="69" t="s">
        <v>506</v>
      </c>
      <c r="S79" s="69"/>
      <c r="T79" s="69"/>
      <c r="U79" s="69" t="s">
        <v>1591</v>
      </c>
      <c r="V79" s="71" t="s">
        <v>1572</v>
      </c>
      <c r="W79" s="72"/>
    </row>
    <row r="80" spans="1:23" ht="38.25" x14ac:dyDescent="0.15">
      <c r="A80" s="182"/>
      <c r="B80" s="166"/>
      <c r="C80" s="171"/>
      <c r="D80" s="67" t="s">
        <v>1568</v>
      </c>
      <c r="E80" s="68" t="s">
        <v>2033</v>
      </c>
      <c r="F80" s="68" t="s">
        <v>1366</v>
      </c>
      <c r="G80" s="69" t="s">
        <v>676</v>
      </c>
      <c r="H80" s="69" t="s">
        <v>283</v>
      </c>
      <c r="I80" s="73" t="s">
        <v>827</v>
      </c>
      <c r="J80" s="73" t="s">
        <v>1837</v>
      </c>
      <c r="K80" s="69" t="s">
        <v>282</v>
      </c>
      <c r="L80" s="69" t="s">
        <v>2653</v>
      </c>
      <c r="M80" s="69" t="s">
        <v>534</v>
      </c>
      <c r="N80" s="69" t="s">
        <v>590</v>
      </c>
      <c r="O80" s="69" t="s">
        <v>1465</v>
      </c>
      <c r="P80" s="69" t="s">
        <v>1366</v>
      </c>
      <c r="Q80" s="69" t="s">
        <v>902</v>
      </c>
      <c r="R80" s="69" t="s">
        <v>506</v>
      </c>
      <c r="S80" s="69"/>
      <c r="T80" s="69"/>
      <c r="U80" s="69" t="s">
        <v>1591</v>
      </c>
      <c r="V80" s="71" t="s">
        <v>1572</v>
      </c>
      <c r="W80" s="72"/>
    </row>
    <row r="81" spans="1:23" ht="38.25" x14ac:dyDescent="0.15">
      <c r="A81" s="182"/>
      <c r="B81" s="166"/>
      <c r="C81" s="171"/>
      <c r="D81" s="67" t="s">
        <v>1568</v>
      </c>
      <c r="E81" s="68" t="s">
        <v>2544</v>
      </c>
      <c r="F81" s="68" t="s">
        <v>1365</v>
      </c>
      <c r="G81" s="69" t="s">
        <v>676</v>
      </c>
      <c r="H81" s="69" t="s">
        <v>283</v>
      </c>
      <c r="I81" s="73" t="s">
        <v>827</v>
      </c>
      <c r="J81" s="73" t="s">
        <v>1837</v>
      </c>
      <c r="K81" s="69" t="s">
        <v>282</v>
      </c>
      <c r="L81" s="69" t="s">
        <v>2653</v>
      </c>
      <c r="M81" s="69" t="s">
        <v>534</v>
      </c>
      <c r="N81" s="69" t="s">
        <v>590</v>
      </c>
      <c r="O81" s="69" t="s">
        <v>1465</v>
      </c>
      <c r="P81" s="69" t="s">
        <v>1365</v>
      </c>
      <c r="Q81" s="69" t="s">
        <v>902</v>
      </c>
      <c r="R81" s="69" t="s">
        <v>506</v>
      </c>
      <c r="S81" s="69"/>
      <c r="T81" s="69"/>
      <c r="U81" s="69" t="s">
        <v>1591</v>
      </c>
      <c r="V81" s="71" t="s">
        <v>1572</v>
      </c>
      <c r="W81" s="72"/>
    </row>
    <row r="82" spans="1:23" ht="38.25" x14ac:dyDescent="0.15">
      <c r="A82" s="182"/>
      <c r="B82" s="166"/>
      <c r="C82" s="171"/>
      <c r="D82" s="67" t="s">
        <v>1568</v>
      </c>
      <c r="E82" s="68" t="s">
        <v>1850</v>
      </c>
      <c r="F82" s="68" t="s">
        <v>132</v>
      </c>
      <c r="G82" s="69" t="s">
        <v>676</v>
      </c>
      <c r="H82" s="69" t="s">
        <v>283</v>
      </c>
      <c r="I82" s="73" t="s">
        <v>827</v>
      </c>
      <c r="J82" s="73" t="s">
        <v>1837</v>
      </c>
      <c r="K82" s="69" t="s">
        <v>282</v>
      </c>
      <c r="L82" s="69" t="s">
        <v>2653</v>
      </c>
      <c r="M82" s="69" t="s">
        <v>534</v>
      </c>
      <c r="N82" s="69" t="s">
        <v>590</v>
      </c>
      <c r="O82" s="69" t="s">
        <v>1465</v>
      </c>
      <c r="P82" s="69" t="s">
        <v>132</v>
      </c>
      <c r="Q82" s="69" t="s">
        <v>902</v>
      </c>
      <c r="R82" s="69" t="s">
        <v>506</v>
      </c>
      <c r="S82" s="69"/>
      <c r="T82" s="69"/>
      <c r="U82" s="69" t="s">
        <v>1591</v>
      </c>
      <c r="V82" s="71" t="s">
        <v>1572</v>
      </c>
      <c r="W82" s="72"/>
    </row>
    <row r="83" spans="1:23" ht="38.25" x14ac:dyDescent="0.15">
      <c r="A83" s="182"/>
      <c r="B83" s="166"/>
      <c r="C83" s="171"/>
      <c r="D83" s="67" t="s">
        <v>1568</v>
      </c>
      <c r="E83" s="68" t="s">
        <v>2297</v>
      </c>
      <c r="F83" s="68" t="s">
        <v>118</v>
      </c>
      <c r="G83" s="69" t="s">
        <v>676</v>
      </c>
      <c r="H83" s="69" t="s">
        <v>283</v>
      </c>
      <c r="I83" s="73" t="s">
        <v>827</v>
      </c>
      <c r="J83" s="73" t="s">
        <v>1837</v>
      </c>
      <c r="K83" s="69" t="s">
        <v>282</v>
      </c>
      <c r="L83" s="69" t="s">
        <v>2653</v>
      </c>
      <c r="M83" s="69" t="s">
        <v>534</v>
      </c>
      <c r="N83" s="69" t="s">
        <v>590</v>
      </c>
      <c r="O83" s="69" t="s">
        <v>1465</v>
      </c>
      <c r="P83" s="69" t="s">
        <v>118</v>
      </c>
      <c r="Q83" s="69" t="s">
        <v>902</v>
      </c>
      <c r="R83" s="69" t="s">
        <v>506</v>
      </c>
      <c r="S83" s="69"/>
      <c r="T83" s="69"/>
      <c r="U83" s="69" t="s">
        <v>1591</v>
      </c>
      <c r="V83" s="71" t="s">
        <v>1572</v>
      </c>
      <c r="W83" s="72"/>
    </row>
    <row r="84" spans="1:23" ht="38.25" x14ac:dyDescent="0.15">
      <c r="A84" s="182"/>
      <c r="B84" s="166"/>
      <c r="C84" s="171"/>
      <c r="D84" s="67" t="s">
        <v>1568</v>
      </c>
      <c r="E84" s="68" t="s">
        <v>2465</v>
      </c>
      <c r="F84" s="68" t="s">
        <v>388</v>
      </c>
      <c r="G84" s="69" t="s">
        <v>36</v>
      </c>
      <c r="H84" s="69" t="s">
        <v>283</v>
      </c>
      <c r="I84" s="73" t="s">
        <v>827</v>
      </c>
      <c r="J84" s="73" t="s">
        <v>1837</v>
      </c>
      <c r="K84" s="69" t="s">
        <v>282</v>
      </c>
      <c r="L84" s="69" t="s">
        <v>2653</v>
      </c>
      <c r="M84" s="69" t="s">
        <v>534</v>
      </c>
      <c r="N84" s="69" t="s">
        <v>590</v>
      </c>
      <c r="O84" s="69" t="s">
        <v>825</v>
      </c>
      <c r="P84" s="69" t="s">
        <v>388</v>
      </c>
      <c r="Q84" s="69" t="s">
        <v>1546</v>
      </c>
      <c r="R84" s="69" t="s">
        <v>486</v>
      </c>
      <c r="S84" s="69"/>
      <c r="T84" s="69"/>
      <c r="U84" s="69" t="s">
        <v>1591</v>
      </c>
      <c r="V84" s="71" t="s">
        <v>1572</v>
      </c>
      <c r="W84" s="72"/>
    </row>
    <row r="85" spans="1:23" ht="38.25" x14ac:dyDescent="0.15">
      <c r="A85" s="182"/>
      <c r="B85" s="166"/>
      <c r="C85" s="171"/>
      <c r="D85" s="67" t="s">
        <v>1568</v>
      </c>
      <c r="E85" s="68" t="s">
        <v>2554</v>
      </c>
      <c r="F85" s="68" t="s">
        <v>519</v>
      </c>
      <c r="G85" s="69" t="s">
        <v>36</v>
      </c>
      <c r="H85" s="69" t="s">
        <v>283</v>
      </c>
      <c r="I85" s="73" t="s">
        <v>827</v>
      </c>
      <c r="J85" s="73" t="s">
        <v>1837</v>
      </c>
      <c r="K85" s="69" t="s">
        <v>282</v>
      </c>
      <c r="L85" s="69" t="s">
        <v>2653</v>
      </c>
      <c r="M85" s="69" t="s">
        <v>534</v>
      </c>
      <c r="N85" s="69" t="s">
        <v>590</v>
      </c>
      <c r="O85" s="69" t="s">
        <v>825</v>
      </c>
      <c r="P85" s="69" t="s">
        <v>519</v>
      </c>
      <c r="Q85" s="69" t="s">
        <v>1546</v>
      </c>
      <c r="R85" s="69" t="s">
        <v>486</v>
      </c>
      <c r="S85" s="69"/>
      <c r="T85" s="69"/>
      <c r="U85" s="69" t="s">
        <v>1591</v>
      </c>
      <c r="V85" s="71" t="s">
        <v>1572</v>
      </c>
      <c r="W85" s="72"/>
    </row>
    <row r="86" spans="1:23" ht="38.25" x14ac:dyDescent="0.15">
      <c r="A86" s="182"/>
      <c r="B86" s="166"/>
      <c r="C86" s="171"/>
      <c r="D86" s="67" t="s">
        <v>1568</v>
      </c>
      <c r="E86" s="68" t="s">
        <v>2318</v>
      </c>
      <c r="F86" s="68" t="s">
        <v>522</v>
      </c>
      <c r="G86" s="69" t="s">
        <v>36</v>
      </c>
      <c r="H86" s="69" t="s">
        <v>283</v>
      </c>
      <c r="I86" s="73" t="s">
        <v>827</v>
      </c>
      <c r="J86" s="73" t="s">
        <v>1837</v>
      </c>
      <c r="K86" s="69" t="s">
        <v>282</v>
      </c>
      <c r="L86" s="69" t="s">
        <v>2653</v>
      </c>
      <c r="M86" s="69" t="s">
        <v>534</v>
      </c>
      <c r="N86" s="69" t="s">
        <v>590</v>
      </c>
      <c r="O86" s="69" t="s">
        <v>825</v>
      </c>
      <c r="P86" s="69" t="s">
        <v>522</v>
      </c>
      <c r="Q86" s="69" t="s">
        <v>1546</v>
      </c>
      <c r="R86" s="69" t="s">
        <v>486</v>
      </c>
      <c r="S86" s="69"/>
      <c r="T86" s="69"/>
      <c r="U86" s="69" t="s">
        <v>1591</v>
      </c>
      <c r="V86" s="71" t="s">
        <v>1572</v>
      </c>
      <c r="W86" s="72"/>
    </row>
    <row r="87" spans="1:23" ht="38.25" x14ac:dyDescent="0.15">
      <c r="A87" s="182"/>
      <c r="B87" s="166"/>
      <c r="C87" s="171"/>
      <c r="D87" s="67" t="s">
        <v>1568</v>
      </c>
      <c r="E87" s="68" t="s">
        <v>2323</v>
      </c>
      <c r="F87" s="68" t="s">
        <v>401</v>
      </c>
      <c r="G87" s="69" t="s">
        <v>36</v>
      </c>
      <c r="H87" s="69" t="s">
        <v>283</v>
      </c>
      <c r="I87" s="73" t="s">
        <v>827</v>
      </c>
      <c r="J87" s="73" t="s">
        <v>1837</v>
      </c>
      <c r="K87" s="69" t="s">
        <v>282</v>
      </c>
      <c r="L87" s="69" t="s">
        <v>2653</v>
      </c>
      <c r="M87" s="69" t="s">
        <v>534</v>
      </c>
      <c r="N87" s="69" t="s">
        <v>590</v>
      </c>
      <c r="O87" s="69" t="s">
        <v>825</v>
      </c>
      <c r="P87" s="69" t="s">
        <v>401</v>
      </c>
      <c r="Q87" s="69" t="s">
        <v>1546</v>
      </c>
      <c r="R87" s="69" t="s">
        <v>486</v>
      </c>
      <c r="S87" s="69"/>
      <c r="T87" s="69"/>
      <c r="U87" s="69" t="s">
        <v>1591</v>
      </c>
      <c r="V87" s="71" t="s">
        <v>1572</v>
      </c>
      <c r="W87" s="72"/>
    </row>
    <row r="88" spans="1:23" ht="38.25" x14ac:dyDescent="0.15">
      <c r="A88" s="182"/>
      <c r="B88" s="166"/>
      <c r="C88" s="171"/>
      <c r="D88" s="67" t="s">
        <v>1568</v>
      </c>
      <c r="E88" s="68" t="s">
        <v>2457</v>
      </c>
      <c r="F88" s="68" t="s">
        <v>512</v>
      </c>
      <c r="G88" s="69" t="s">
        <v>36</v>
      </c>
      <c r="H88" s="69" t="s">
        <v>283</v>
      </c>
      <c r="I88" s="73" t="s">
        <v>827</v>
      </c>
      <c r="J88" s="73" t="s">
        <v>1837</v>
      </c>
      <c r="K88" s="69" t="s">
        <v>282</v>
      </c>
      <c r="L88" s="69" t="s">
        <v>2653</v>
      </c>
      <c r="M88" s="69" t="s">
        <v>534</v>
      </c>
      <c r="N88" s="69" t="s">
        <v>590</v>
      </c>
      <c r="O88" s="69" t="s">
        <v>825</v>
      </c>
      <c r="P88" s="69" t="s">
        <v>512</v>
      </c>
      <c r="Q88" s="69" t="s">
        <v>1546</v>
      </c>
      <c r="R88" s="69" t="s">
        <v>486</v>
      </c>
      <c r="S88" s="69"/>
      <c r="T88" s="69"/>
      <c r="U88" s="69" t="s">
        <v>1591</v>
      </c>
      <c r="V88" s="71" t="s">
        <v>1572</v>
      </c>
      <c r="W88" s="72"/>
    </row>
    <row r="89" spans="1:23" ht="38.25" x14ac:dyDescent="0.15">
      <c r="A89" s="182"/>
      <c r="B89" s="166"/>
      <c r="C89" s="171"/>
      <c r="D89" s="67" t="s">
        <v>1568</v>
      </c>
      <c r="E89" s="68" t="s">
        <v>2490</v>
      </c>
      <c r="F89" s="68" t="s">
        <v>526</v>
      </c>
      <c r="G89" s="69" t="s">
        <v>36</v>
      </c>
      <c r="H89" s="69" t="s">
        <v>283</v>
      </c>
      <c r="I89" s="73" t="s">
        <v>827</v>
      </c>
      <c r="J89" s="73" t="s">
        <v>1837</v>
      </c>
      <c r="K89" s="69" t="s">
        <v>282</v>
      </c>
      <c r="L89" s="69" t="s">
        <v>2653</v>
      </c>
      <c r="M89" s="69" t="s">
        <v>534</v>
      </c>
      <c r="N89" s="69" t="s">
        <v>590</v>
      </c>
      <c r="O89" s="69" t="s">
        <v>825</v>
      </c>
      <c r="P89" s="69" t="s">
        <v>526</v>
      </c>
      <c r="Q89" s="69" t="s">
        <v>1546</v>
      </c>
      <c r="R89" s="69" t="s">
        <v>486</v>
      </c>
      <c r="S89" s="69"/>
      <c r="T89" s="69"/>
      <c r="U89" s="69" t="s">
        <v>1591</v>
      </c>
      <c r="V89" s="71" t="s">
        <v>1572</v>
      </c>
      <c r="W89" s="72"/>
    </row>
    <row r="90" spans="1:23" ht="25.5" x14ac:dyDescent="0.15">
      <c r="A90" s="182"/>
      <c r="B90" s="166"/>
      <c r="C90" s="171"/>
      <c r="D90" s="67" t="s">
        <v>1568</v>
      </c>
      <c r="E90" s="68" t="s">
        <v>2504</v>
      </c>
      <c r="F90" s="68" t="s">
        <v>1059</v>
      </c>
      <c r="G90" s="69" t="s">
        <v>1514</v>
      </c>
      <c r="H90" s="69" t="s">
        <v>810</v>
      </c>
      <c r="I90" s="73" t="s">
        <v>827</v>
      </c>
      <c r="J90" s="73" t="s">
        <v>1837</v>
      </c>
      <c r="K90" s="69" t="s">
        <v>282</v>
      </c>
      <c r="L90" s="69" t="s">
        <v>2653</v>
      </c>
      <c r="M90" s="69" t="s">
        <v>534</v>
      </c>
      <c r="N90" s="69" t="s">
        <v>590</v>
      </c>
      <c r="O90" s="69" t="s">
        <v>1480</v>
      </c>
      <c r="P90" s="69" t="s">
        <v>1059</v>
      </c>
      <c r="Q90" s="69" t="s">
        <v>596</v>
      </c>
      <c r="R90" s="69" t="s">
        <v>130</v>
      </c>
      <c r="S90" s="69"/>
      <c r="T90" s="69"/>
      <c r="U90" s="69" t="s">
        <v>1591</v>
      </c>
      <c r="V90" s="71" t="s">
        <v>1572</v>
      </c>
      <c r="W90" s="72"/>
    </row>
    <row r="91" spans="1:23" ht="25.5" x14ac:dyDescent="0.15">
      <c r="A91" s="182"/>
      <c r="B91" s="166"/>
      <c r="C91" s="171"/>
      <c r="D91" s="67" t="s">
        <v>1568</v>
      </c>
      <c r="E91" s="68" t="s">
        <v>1999</v>
      </c>
      <c r="F91" s="68" t="s">
        <v>1106</v>
      </c>
      <c r="G91" s="69" t="s">
        <v>1514</v>
      </c>
      <c r="H91" s="69" t="s">
        <v>810</v>
      </c>
      <c r="I91" s="73" t="s">
        <v>827</v>
      </c>
      <c r="J91" s="73" t="s">
        <v>1837</v>
      </c>
      <c r="K91" s="69" t="s">
        <v>282</v>
      </c>
      <c r="L91" s="69" t="s">
        <v>2653</v>
      </c>
      <c r="M91" s="69" t="s">
        <v>534</v>
      </c>
      <c r="N91" s="69" t="s">
        <v>590</v>
      </c>
      <c r="O91" s="69" t="s">
        <v>1480</v>
      </c>
      <c r="P91" s="69" t="s">
        <v>1106</v>
      </c>
      <c r="Q91" s="69" t="s">
        <v>596</v>
      </c>
      <c r="R91" s="69" t="s">
        <v>130</v>
      </c>
      <c r="S91" s="69"/>
      <c r="T91" s="69"/>
      <c r="U91" s="69" t="s">
        <v>1591</v>
      </c>
      <c r="V91" s="71" t="s">
        <v>1572</v>
      </c>
      <c r="W91" s="72"/>
    </row>
    <row r="92" spans="1:23" ht="25.5" x14ac:dyDescent="0.15">
      <c r="A92" s="182"/>
      <c r="B92" s="166"/>
      <c r="C92" s="171"/>
      <c r="D92" s="67" t="s">
        <v>1568</v>
      </c>
      <c r="E92" s="68" t="s">
        <v>1818</v>
      </c>
      <c r="F92" s="68" t="s">
        <v>218</v>
      </c>
      <c r="G92" s="69" t="s">
        <v>1514</v>
      </c>
      <c r="H92" s="69" t="s">
        <v>810</v>
      </c>
      <c r="I92" s="73" t="s">
        <v>827</v>
      </c>
      <c r="J92" s="73" t="s">
        <v>1837</v>
      </c>
      <c r="K92" s="69" t="s">
        <v>282</v>
      </c>
      <c r="L92" s="69" t="s">
        <v>2653</v>
      </c>
      <c r="M92" s="69" t="s">
        <v>534</v>
      </c>
      <c r="N92" s="69" t="s">
        <v>590</v>
      </c>
      <c r="O92" s="69" t="s">
        <v>1480</v>
      </c>
      <c r="P92" s="69" t="s">
        <v>218</v>
      </c>
      <c r="Q92" s="69" t="s">
        <v>596</v>
      </c>
      <c r="R92" s="69" t="s">
        <v>130</v>
      </c>
      <c r="S92" s="69"/>
      <c r="T92" s="69"/>
      <c r="U92" s="69" t="s">
        <v>1591</v>
      </c>
      <c r="V92" s="71" t="s">
        <v>1572</v>
      </c>
      <c r="W92" s="72"/>
    </row>
    <row r="93" spans="1:23" ht="25.5" x14ac:dyDescent="0.15">
      <c r="A93" s="182"/>
      <c r="B93" s="166"/>
      <c r="C93" s="171"/>
      <c r="D93" s="67" t="s">
        <v>1568</v>
      </c>
      <c r="E93" s="68" t="s">
        <v>1816</v>
      </c>
      <c r="F93" s="68" t="s">
        <v>155</v>
      </c>
      <c r="G93" s="69" t="s">
        <v>1514</v>
      </c>
      <c r="H93" s="69" t="s">
        <v>810</v>
      </c>
      <c r="I93" s="73" t="s">
        <v>827</v>
      </c>
      <c r="J93" s="73" t="s">
        <v>1837</v>
      </c>
      <c r="K93" s="69" t="s">
        <v>282</v>
      </c>
      <c r="L93" s="69" t="s">
        <v>2653</v>
      </c>
      <c r="M93" s="69" t="s">
        <v>534</v>
      </c>
      <c r="N93" s="69" t="s">
        <v>590</v>
      </c>
      <c r="O93" s="69" t="s">
        <v>1480</v>
      </c>
      <c r="P93" s="69" t="s">
        <v>155</v>
      </c>
      <c r="Q93" s="69" t="s">
        <v>596</v>
      </c>
      <c r="R93" s="69" t="s">
        <v>130</v>
      </c>
      <c r="S93" s="69"/>
      <c r="T93" s="69"/>
      <c r="U93" s="69" t="s">
        <v>1591</v>
      </c>
      <c r="V93" s="71" t="s">
        <v>1572</v>
      </c>
      <c r="W93" s="72"/>
    </row>
    <row r="94" spans="1:23" ht="25.5" x14ac:dyDescent="0.15">
      <c r="A94" s="182"/>
      <c r="B94" s="166"/>
      <c r="C94" s="171"/>
      <c r="D94" s="67" t="s">
        <v>1568</v>
      </c>
      <c r="E94" s="68" t="s">
        <v>2553</v>
      </c>
      <c r="F94" s="68" t="s">
        <v>1141</v>
      </c>
      <c r="G94" s="69" t="s">
        <v>1514</v>
      </c>
      <c r="H94" s="69" t="s">
        <v>810</v>
      </c>
      <c r="I94" s="73" t="s">
        <v>827</v>
      </c>
      <c r="J94" s="73" t="s">
        <v>1837</v>
      </c>
      <c r="K94" s="69" t="s">
        <v>282</v>
      </c>
      <c r="L94" s="69" t="s">
        <v>2653</v>
      </c>
      <c r="M94" s="69" t="s">
        <v>534</v>
      </c>
      <c r="N94" s="69" t="s">
        <v>590</v>
      </c>
      <c r="O94" s="69" t="s">
        <v>1480</v>
      </c>
      <c r="P94" s="69" t="s">
        <v>1141</v>
      </c>
      <c r="Q94" s="69" t="s">
        <v>596</v>
      </c>
      <c r="R94" s="69" t="s">
        <v>130</v>
      </c>
      <c r="S94" s="69"/>
      <c r="T94" s="69"/>
      <c r="U94" s="69" t="s">
        <v>1591</v>
      </c>
      <c r="V94" s="71" t="s">
        <v>1572</v>
      </c>
      <c r="W94" s="72"/>
    </row>
    <row r="95" spans="1:23" ht="25.5" x14ac:dyDescent="0.15">
      <c r="A95" s="182"/>
      <c r="B95" s="166"/>
      <c r="C95" s="171"/>
      <c r="D95" s="67" t="s">
        <v>1568</v>
      </c>
      <c r="E95" s="68" t="s">
        <v>1777</v>
      </c>
      <c r="F95" s="68" t="s">
        <v>1083</v>
      </c>
      <c r="G95" s="69" t="s">
        <v>1514</v>
      </c>
      <c r="H95" s="69" t="s">
        <v>810</v>
      </c>
      <c r="I95" s="73" t="s">
        <v>827</v>
      </c>
      <c r="J95" s="73" t="s">
        <v>1837</v>
      </c>
      <c r="K95" s="69" t="s">
        <v>282</v>
      </c>
      <c r="L95" s="69" t="s">
        <v>2653</v>
      </c>
      <c r="M95" s="69" t="s">
        <v>534</v>
      </c>
      <c r="N95" s="69" t="s">
        <v>590</v>
      </c>
      <c r="O95" s="69" t="s">
        <v>1480</v>
      </c>
      <c r="P95" s="69" t="s">
        <v>1083</v>
      </c>
      <c r="Q95" s="69" t="s">
        <v>596</v>
      </c>
      <c r="R95" s="69" t="s">
        <v>130</v>
      </c>
      <c r="S95" s="69"/>
      <c r="T95" s="69"/>
      <c r="U95" s="69" t="s">
        <v>1591</v>
      </c>
      <c r="V95" s="71" t="s">
        <v>1572</v>
      </c>
      <c r="W95" s="72"/>
    </row>
    <row r="96" spans="1:23" ht="38.25" x14ac:dyDescent="0.15">
      <c r="A96" s="182"/>
      <c r="B96" s="166"/>
      <c r="C96" s="171"/>
      <c r="D96" s="67" t="s">
        <v>1568</v>
      </c>
      <c r="E96" s="68" t="s">
        <v>2567</v>
      </c>
      <c r="F96" s="68" t="s">
        <v>500</v>
      </c>
      <c r="G96" s="69" t="s">
        <v>654</v>
      </c>
      <c r="H96" s="69" t="s">
        <v>2386</v>
      </c>
      <c r="I96" s="73" t="s">
        <v>827</v>
      </c>
      <c r="J96" s="73" t="s">
        <v>1837</v>
      </c>
      <c r="K96" s="69" t="s">
        <v>282</v>
      </c>
      <c r="L96" s="69" t="s">
        <v>2653</v>
      </c>
      <c r="M96" s="69" t="s">
        <v>534</v>
      </c>
      <c r="N96" s="69" t="s">
        <v>590</v>
      </c>
      <c r="O96" s="69" t="s">
        <v>790</v>
      </c>
      <c r="P96" s="69" t="s">
        <v>500</v>
      </c>
      <c r="Q96" s="69" t="s">
        <v>873</v>
      </c>
      <c r="R96" s="69" t="s">
        <v>481</v>
      </c>
      <c r="S96" s="69"/>
      <c r="T96" s="69"/>
      <c r="U96" s="69" t="s">
        <v>1591</v>
      </c>
      <c r="V96" s="71" t="s">
        <v>1572</v>
      </c>
      <c r="W96" s="72"/>
    </row>
    <row r="97" spans="1:23" ht="25.5" x14ac:dyDescent="0.15">
      <c r="A97" s="182"/>
      <c r="B97" s="166"/>
      <c r="C97" s="171"/>
      <c r="D97" s="67" t="s">
        <v>1568</v>
      </c>
      <c r="E97" s="68" t="s">
        <v>1900</v>
      </c>
      <c r="F97" s="68" t="s">
        <v>195</v>
      </c>
      <c r="G97" s="69" t="s">
        <v>654</v>
      </c>
      <c r="H97" s="69" t="s">
        <v>2386</v>
      </c>
      <c r="I97" s="73" t="s">
        <v>827</v>
      </c>
      <c r="J97" s="73" t="s">
        <v>1837</v>
      </c>
      <c r="K97" s="69" t="s">
        <v>282</v>
      </c>
      <c r="L97" s="69" t="s">
        <v>2653</v>
      </c>
      <c r="M97" s="69" t="s">
        <v>534</v>
      </c>
      <c r="N97" s="69" t="s">
        <v>590</v>
      </c>
      <c r="O97" s="69" t="s">
        <v>622</v>
      </c>
      <c r="P97" s="69" t="s">
        <v>195</v>
      </c>
      <c r="Q97" s="69" t="s">
        <v>638</v>
      </c>
      <c r="R97" s="69" t="s">
        <v>1061</v>
      </c>
      <c r="S97" s="69"/>
      <c r="T97" s="69"/>
      <c r="U97" s="69" t="s">
        <v>1591</v>
      </c>
      <c r="V97" s="71" t="s">
        <v>1572</v>
      </c>
      <c r="W97" s="72"/>
    </row>
    <row r="98" spans="1:23" ht="25.5" x14ac:dyDescent="0.15">
      <c r="A98" s="182"/>
      <c r="B98" s="166"/>
      <c r="C98" s="171"/>
      <c r="D98" s="67" t="s">
        <v>1568</v>
      </c>
      <c r="E98" s="68" t="s">
        <v>2506</v>
      </c>
      <c r="F98" s="68" t="s">
        <v>1033</v>
      </c>
      <c r="G98" s="69" t="s">
        <v>654</v>
      </c>
      <c r="H98" s="69" t="s">
        <v>2386</v>
      </c>
      <c r="I98" s="73" t="s">
        <v>827</v>
      </c>
      <c r="J98" s="73" t="s">
        <v>1837</v>
      </c>
      <c r="K98" s="69" t="s">
        <v>282</v>
      </c>
      <c r="L98" s="69" t="s">
        <v>2653</v>
      </c>
      <c r="M98" s="69" t="s">
        <v>534</v>
      </c>
      <c r="N98" s="69" t="s">
        <v>590</v>
      </c>
      <c r="O98" s="69" t="s">
        <v>622</v>
      </c>
      <c r="P98" s="69" t="s">
        <v>1033</v>
      </c>
      <c r="Q98" s="69" t="s">
        <v>638</v>
      </c>
      <c r="R98" s="69" t="s">
        <v>1061</v>
      </c>
      <c r="S98" s="69"/>
      <c r="T98" s="69"/>
      <c r="U98" s="69" t="s">
        <v>1591</v>
      </c>
      <c r="V98" s="71" t="s">
        <v>1572</v>
      </c>
      <c r="W98" s="72"/>
    </row>
    <row r="99" spans="1:23" ht="25.5" x14ac:dyDescent="0.15">
      <c r="A99" s="182"/>
      <c r="B99" s="166"/>
      <c r="C99" s="171"/>
      <c r="D99" s="67" t="s">
        <v>1568</v>
      </c>
      <c r="E99" s="68" t="s">
        <v>2369</v>
      </c>
      <c r="F99" s="68" t="s">
        <v>1041</v>
      </c>
      <c r="G99" s="69" t="s">
        <v>654</v>
      </c>
      <c r="H99" s="69" t="s">
        <v>2386</v>
      </c>
      <c r="I99" s="73" t="s">
        <v>827</v>
      </c>
      <c r="J99" s="73" t="s">
        <v>1837</v>
      </c>
      <c r="K99" s="69" t="s">
        <v>282</v>
      </c>
      <c r="L99" s="69" t="s">
        <v>2653</v>
      </c>
      <c r="M99" s="69" t="s">
        <v>534</v>
      </c>
      <c r="N99" s="69" t="s">
        <v>590</v>
      </c>
      <c r="O99" s="69" t="s">
        <v>622</v>
      </c>
      <c r="P99" s="69" t="s">
        <v>1041</v>
      </c>
      <c r="Q99" s="69" t="s">
        <v>638</v>
      </c>
      <c r="R99" s="69" t="s">
        <v>1061</v>
      </c>
      <c r="S99" s="69"/>
      <c r="T99" s="69"/>
      <c r="U99" s="69" t="s">
        <v>1591</v>
      </c>
      <c r="V99" s="71" t="s">
        <v>1572</v>
      </c>
      <c r="W99" s="72"/>
    </row>
    <row r="100" spans="1:23" ht="25.5" x14ac:dyDescent="0.15">
      <c r="A100" s="182"/>
      <c r="B100" s="166"/>
      <c r="C100" s="171"/>
      <c r="D100" s="67" t="s">
        <v>1568</v>
      </c>
      <c r="E100" s="68" t="s">
        <v>2335</v>
      </c>
      <c r="F100" s="68" t="s">
        <v>1026</v>
      </c>
      <c r="G100" s="69" t="s">
        <v>654</v>
      </c>
      <c r="H100" s="69" t="s">
        <v>2386</v>
      </c>
      <c r="I100" s="73" t="s">
        <v>827</v>
      </c>
      <c r="J100" s="73" t="s">
        <v>1837</v>
      </c>
      <c r="K100" s="69" t="s">
        <v>282</v>
      </c>
      <c r="L100" s="69" t="s">
        <v>2653</v>
      </c>
      <c r="M100" s="69" t="s">
        <v>534</v>
      </c>
      <c r="N100" s="69" t="s">
        <v>590</v>
      </c>
      <c r="O100" s="69" t="s">
        <v>622</v>
      </c>
      <c r="P100" s="69" t="s">
        <v>1026</v>
      </c>
      <c r="Q100" s="69" t="s">
        <v>638</v>
      </c>
      <c r="R100" s="69" t="s">
        <v>1061</v>
      </c>
      <c r="S100" s="69"/>
      <c r="T100" s="69"/>
      <c r="U100" s="69" t="s">
        <v>1591</v>
      </c>
      <c r="V100" s="71" t="s">
        <v>1572</v>
      </c>
      <c r="W100" s="72"/>
    </row>
    <row r="101" spans="1:23" ht="25.5" x14ac:dyDescent="0.15">
      <c r="A101" s="182"/>
      <c r="B101" s="166"/>
      <c r="C101" s="171"/>
      <c r="D101" s="67" t="s">
        <v>1568</v>
      </c>
      <c r="E101" s="68" t="s">
        <v>2345</v>
      </c>
      <c r="F101" s="68" t="s">
        <v>1121</v>
      </c>
      <c r="G101" s="69" t="s">
        <v>654</v>
      </c>
      <c r="H101" s="69" t="s">
        <v>2386</v>
      </c>
      <c r="I101" s="73" t="s">
        <v>827</v>
      </c>
      <c r="J101" s="73" t="s">
        <v>1837</v>
      </c>
      <c r="K101" s="69" t="s">
        <v>282</v>
      </c>
      <c r="L101" s="69" t="s">
        <v>2653</v>
      </c>
      <c r="M101" s="69" t="s">
        <v>534</v>
      </c>
      <c r="N101" s="69" t="s">
        <v>590</v>
      </c>
      <c r="O101" s="69" t="s">
        <v>622</v>
      </c>
      <c r="P101" s="69" t="s">
        <v>1121</v>
      </c>
      <c r="Q101" s="69" t="s">
        <v>638</v>
      </c>
      <c r="R101" s="69" t="s">
        <v>1061</v>
      </c>
      <c r="S101" s="69"/>
      <c r="T101" s="69"/>
      <c r="U101" s="69" t="s">
        <v>1591</v>
      </c>
      <c r="V101" s="71" t="s">
        <v>1572</v>
      </c>
      <c r="W101" s="72"/>
    </row>
    <row r="102" spans="1:23" ht="25.5" x14ac:dyDescent="0.15">
      <c r="A102" s="182"/>
      <c r="B102" s="166"/>
      <c r="C102" s="171"/>
      <c r="D102" s="67" t="s">
        <v>1568</v>
      </c>
      <c r="E102" s="68" t="s">
        <v>2080</v>
      </c>
      <c r="F102" s="68" t="s">
        <v>1042</v>
      </c>
      <c r="G102" s="69" t="s">
        <v>654</v>
      </c>
      <c r="H102" s="69" t="s">
        <v>2386</v>
      </c>
      <c r="I102" s="73" t="s">
        <v>827</v>
      </c>
      <c r="J102" s="73" t="s">
        <v>1837</v>
      </c>
      <c r="K102" s="69" t="s">
        <v>282</v>
      </c>
      <c r="L102" s="69" t="s">
        <v>2653</v>
      </c>
      <c r="M102" s="69" t="s">
        <v>534</v>
      </c>
      <c r="N102" s="69" t="s">
        <v>590</v>
      </c>
      <c r="O102" s="69" t="s">
        <v>622</v>
      </c>
      <c r="P102" s="69" t="s">
        <v>1042</v>
      </c>
      <c r="Q102" s="69" t="s">
        <v>638</v>
      </c>
      <c r="R102" s="69" t="s">
        <v>1061</v>
      </c>
      <c r="S102" s="69"/>
      <c r="T102" s="69"/>
      <c r="U102" s="69" t="s">
        <v>1591</v>
      </c>
      <c r="V102" s="71" t="s">
        <v>1572</v>
      </c>
      <c r="W102" s="72"/>
    </row>
    <row r="103" spans="1:23" ht="25.5" customHeight="1" x14ac:dyDescent="0.15">
      <c r="A103" s="182"/>
      <c r="B103" s="166"/>
      <c r="C103" s="171" t="s">
        <v>225</v>
      </c>
      <c r="D103" s="67" t="s">
        <v>1568</v>
      </c>
      <c r="E103" s="68" t="s">
        <v>2510</v>
      </c>
      <c r="F103" s="68" t="s">
        <v>209</v>
      </c>
      <c r="G103" s="69" t="s">
        <v>1417</v>
      </c>
      <c r="H103" s="69" t="s">
        <v>1915</v>
      </c>
      <c r="I103" s="73" t="s">
        <v>1476</v>
      </c>
      <c r="J103" s="73" t="s">
        <v>960</v>
      </c>
      <c r="K103" s="69" t="s">
        <v>580</v>
      </c>
      <c r="L103" s="69" t="s">
        <v>1242</v>
      </c>
      <c r="M103" s="69" t="s">
        <v>533</v>
      </c>
      <c r="N103" s="69" t="s">
        <v>1242</v>
      </c>
      <c r="O103" s="69" t="s">
        <v>1488</v>
      </c>
      <c r="P103" s="69" t="s">
        <v>209</v>
      </c>
      <c r="Q103" s="69" t="s">
        <v>638</v>
      </c>
      <c r="R103" s="69" t="s">
        <v>1061</v>
      </c>
      <c r="S103" s="69"/>
      <c r="T103" s="69"/>
      <c r="U103" s="69" t="s">
        <v>1591</v>
      </c>
      <c r="V103" s="71" t="s">
        <v>1572</v>
      </c>
      <c r="W103" s="72"/>
    </row>
    <row r="104" spans="1:23" ht="25.5" x14ac:dyDescent="0.15">
      <c r="A104" s="182"/>
      <c r="B104" s="166"/>
      <c r="C104" s="171"/>
      <c r="D104" s="67" t="s">
        <v>1568</v>
      </c>
      <c r="E104" s="68" t="s">
        <v>2435</v>
      </c>
      <c r="F104" s="68" t="s">
        <v>1189</v>
      </c>
      <c r="G104" s="69" t="s">
        <v>1417</v>
      </c>
      <c r="H104" s="69" t="s">
        <v>1915</v>
      </c>
      <c r="I104" s="73" t="s">
        <v>1476</v>
      </c>
      <c r="J104" s="73" t="s">
        <v>960</v>
      </c>
      <c r="K104" s="69" t="s">
        <v>580</v>
      </c>
      <c r="L104" s="69" t="s">
        <v>1242</v>
      </c>
      <c r="M104" s="69" t="s">
        <v>533</v>
      </c>
      <c r="N104" s="69" t="s">
        <v>1242</v>
      </c>
      <c r="O104" s="69" t="s">
        <v>1488</v>
      </c>
      <c r="P104" s="69" t="s">
        <v>1189</v>
      </c>
      <c r="Q104" s="69" t="s">
        <v>797</v>
      </c>
      <c r="R104" s="69" t="s">
        <v>260</v>
      </c>
      <c r="S104" s="69"/>
      <c r="T104" s="69"/>
      <c r="U104" s="69" t="s">
        <v>1556</v>
      </c>
      <c r="V104" s="71" t="s">
        <v>1572</v>
      </c>
      <c r="W104" s="72"/>
    </row>
    <row r="105" spans="1:23" ht="25.5" x14ac:dyDescent="0.15">
      <c r="A105" s="182"/>
      <c r="B105" s="166"/>
      <c r="C105" s="171"/>
      <c r="D105" s="67" t="s">
        <v>1568</v>
      </c>
      <c r="E105" s="68" t="s">
        <v>1831</v>
      </c>
      <c r="F105" s="68" t="s">
        <v>1081</v>
      </c>
      <c r="G105" s="69" t="s">
        <v>47</v>
      </c>
      <c r="H105" s="69" t="s">
        <v>2317</v>
      </c>
      <c r="I105" s="73" t="s">
        <v>1476</v>
      </c>
      <c r="J105" s="73" t="s">
        <v>960</v>
      </c>
      <c r="K105" s="69" t="s">
        <v>580</v>
      </c>
      <c r="L105" s="69" t="s">
        <v>1242</v>
      </c>
      <c r="M105" s="69" t="s">
        <v>533</v>
      </c>
      <c r="N105" s="69" t="s">
        <v>1242</v>
      </c>
      <c r="O105" s="69" t="s">
        <v>1488</v>
      </c>
      <c r="P105" s="69" t="s">
        <v>1081</v>
      </c>
      <c r="Q105" s="69" t="s">
        <v>797</v>
      </c>
      <c r="R105" s="69" t="s">
        <v>260</v>
      </c>
      <c r="S105" s="69"/>
      <c r="T105" s="69"/>
      <c r="U105" s="69" t="s">
        <v>1556</v>
      </c>
      <c r="V105" s="71" t="s">
        <v>1572</v>
      </c>
      <c r="W105" s="72"/>
    </row>
    <row r="106" spans="1:23" ht="25.5" x14ac:dyDescent="0.15">
      <c r="A106" s="182"/>
      <c r="B106" s="166"/>
      <c r="C106" s="171"/>
      <c r="D106" s="67" t="s">
        <v>1568</v>
      </c>
      <c r="E106" s="68" t="s">
        <v>2530</v>
      </c>
      <c r="F106" s="68" t="s">
        <v>1211</v>
      </c>
      <c r="G106" s="69" t="s">
        <v>47</v>
      </c>
      <c r="H106" s="69" t="s">
        <v>2317</v>
      </c>
      <c r="I106" s="73" t="s">
        <v>1476</v>
      </c>
      <c r="J106" s="73" t="s">
        <v>960</v>
      </c>
      <c r="K106" s="69" t="s">
        <v>580</v>
      </c>
      <c r="L106" s="69" t="s">
        <v>1242</v>
      </c>
      <c r="M106" s="69" t="s">
        <v>533</v>
      </c>
      <c r="N106" s="69" t="s">
        <v>1242</v>
      </c>
      <c r="O106" s="69" t="s">
        <v>1488</v>
      </c>
      <c r="P106" s="69" t="s">
        <v>1211</v>
      </c>
      <c r="Q106" s="69" t="s">
        <v>797</v>
      </c>
      <c r="R106" s="69" t="s">
        <v>260</v>
      </c>
      <c r="S106" s="69"/>
      <c r="T106" s="69"/>
      <c r="U106" s="69" t="s">
        <v>1556</v>
      </c>
      <c r="V106" s="71" t="s">
        <v>1572</v>
      </c>
      <c r="W106" s="72"/>
    </row>
    <row r="107" spans="1:23" ht="25.5" x14ac:dyDescent="0.15">
      <c r="A107" s="182"/>
      <c r="B107" s="166"/>
      <c r="C107" s="171"/>
      <c r="D107" s="67" t="s">
        <v>1568</v>
      </c>
      <c r="E107" s="68" t="s">
        <v>2305</v>
      </c>
      <c r="F107" s="68" t="s">
        <v>1213</v>
      </c>
      <c r="G107" s="69" t="s">
        <v>47</v>
      </c>
      <c r="H107" s="69" t="s">
        <v>2317</v>
      </c>
      <c r="I107" s="73" t="s">
        <v>1476</v>
      </c>
      <c r="J107" s="73" t="s">
        <v>960</v>
      </c>
      <c r="K107" s="69" t="s">
        <v>580</v>
      </c>
      <c r="L107" s="69" t="s">
        <v>1242</v>
      </c>
      <c r="M107" s="69" t="s">
        <v>533</v>
      </c>
      <c r="N107" s="69" t="s">
        <v>1242</v>
      </c>
      <c r="O107" s="69" t="s">
        <v>1488</v>
      </c>
      <c r="P107" s="69" t="s">
        <v>1213</v>
      </c>
      <c r="Q107" s="69" t="s">
        <v>797</v>
      </c>
      <c r="R107" s="69" t="s">
        <v>260</v>
      </c>
      <c r="S107" s="69"/>
      <c r="T107" s="69"/>
      <c r="U107" s="69" t="s">
        <v>1556</v>
      </c>
      <c r="V107" s="71" t="s">
        <v>1572</v>
      </c>
      <c r="W107" s="72"/>
    </row>
    <row r="108" spans="1:23" ht="25.5" x14ac:dyDescent="0.15">
      <c r="A108" s="182"/>
      <c r="B108" s="166"/>
      <c r="C108" s="171"/>
      <c r="D108" s="67" t="s">
        <v>1568</v>
      </c>
      <c r="E108" s="68" t="s">
        <v>2360</v>
      </c>
      <c r="F108" s="68" t="s">
        <v>1045</v>
      </c>
      <c r="G108" s="69" t="s">
        <v>47</v>
      </c>
      <c r="H108" s="69" t="s">
        <v>2317</v>
      </c>
      <c r="I108" s="73" t="s">
        <v>1476</v>
      </c>
      <c r="J108" s="73" t="s">
        <v>960</v>
      </c>
      <c r="K108" s="69" t="s">
        <v>580</v>
      </c>
      <c r="L108" s="69" t="s">
        <v>1242</v>
      </c>
      <c r="M108" s="69" t="s">
        <v>533</v>
      </c>
      <c r="N108" s="69" t="s">
        <v>1242</v>
      </c>
      <c r="O108" s="69" t="s">
        <v>1488</v>
      </c>
      <c r="P108" s="69" t="s">
        <v>1045</v>
      </c>
      <c r="Q108" s="69" t="s">
        <v>797</v>
      </c>
      <c r="R108" s="69" t="s">
        <v>260</v>
      </c>
      <c r="S108" s="69"/>
      <c r="T108" s="69"/>
      <c r="U108" s="69" t="s">
        <v>1591</v>
      </c>
      <c r="V108" s="71" t="s">
        <v>1572</v>
      </c>
      <c r="W108" s="72"/>
    </row>
    <row r="109" spans="1:23" ht="25.5" x14ac:dyDescent="0.15">
      <c r="A109" s="182"/>
      <c r="B109" s="166"/>
      <c r="C109" s="171"/>
      <c r="D109" s="67" t="s">
        <v>1568</v>
      </c>
      <c r="E109" s="68" t="s">
        <v>1718</v>
      </c>
      <c r="F109" s="68" t="s">
        <v>202</v>
      </c>
      <c r="G109" s="69" t="s">
        <v>1462</v>
      </c>
      <c r="H109" s="69" t="s">
        <v>1835</v>
      </c>
      <c r="I109" s="73" t="s">
        <v>543</v>
      </c>
      <c r="J109" s="73" t="s">
        <v>991</v>
      </c>
      <c r="K109" s="69" t="s">
        <v>580</v>
      </c>
      <c r="L109" s="69" t="s">
        <v>1242</v>
      </c>
      <c r="M109" s="69" t="s">
        <v>533</v>
      </c>
      <c r="N109" s="69" t="s">
        <v>1242</v>
      </c>
      <c r="O109" s="69" t="s">
        <v>830</v>
      </c>
      <c r="P109" s="69" t="s">
        <v>202</v>
      </c>
      <c r="Q109" s="69" t="s">
        <v>820</v>
      </c>
      <c r="R109" s="69" t="s">
        <v>153</v>
      </c>
      <c r="S109" s="69"/>
      <c r="T109" s="69"/>
      <c r="U109" s="69" t="s">
        <v>1591</v>
      </c>
      <c r="V109" s="71" t="s">
        <v>1572</v>
      </c>
      <c r="W109" s="72"/>
    </row>
    <row r="110" spans="1:23" ht="25.5" x14ac:dyDescent="0.15">
      <c r="A110" s="182"/>
      <c r="B110" s="166"/>
      <c r="C110" s="171"/>
      <c r="D110" s="67" t="s">
        <v>1568</v>
      </c>
      <c r="E110" s="68" t="s">
        <v>1922</v>
      </c>
      <c r="F110" s="68" t="s">
        <v>1168</v>
      </c>
      <c r="G110" s="69" t="s">
        <v>1462</v>
      </c>
      <c r="H110" s="69" t="s">
        <v>1835</v>
      </c>
      <c r="I110" s="73" t="s">
        <v>543</v>
      </c>
      <c r="J110" s="73" t="s">
        <v>991</v>
      </c>
      <c r="K110" s="69" t="s">
        <v>580</v>
      </c>
      <c r="L110" s="69" t="s">
        <v>1242</v>
      </c>
      <c r="M110" s="69" t="s">
        <v>533</v>
      </c>
      <c r="N110" s="69" t="s">
        <v>1242</v>
      </c>
      <c r="O110" s="69" t="s">
        <v>830</v>
      </c>
      <c r="P110" s="69" t="s">
        <v>1168</v>
      </c>
      <c r="Q110" s="69" t="s">
        <v>820</v>
      </c>
      <c r="R110" s="69" t="s">
        <v>153</v>
      </c>
      <c r="S110" s="69"/>
      <c r="T110" s="69"/>
      <c r="U110" s="69" t="s">
        <v>1556</v>
      </c>
      <c r="V110" s="71" t="s">
        <v>1572</v>
      </c>
      <c r="W110" s="72"/>
    </row>
    <row r="111" spans="1:23" ht="25.5" x14ac:dyDescent="0.15">
      <c r="A111" s="182"/>
      <c r="B111" s="166"/>
      <c r="C111" s="171"/>
      <c r="D111" s="67" t="s">
        <v>1568</v>
      </c>
      <c r="E111" s="68" t="s">
        <v>2346</v>
      </c>
      <c r="F111" s="68" t="s">
        <v>1066</v>
      </c>
      <c r="G111" s="69" t="s">
        <v>47</v>
      </c>
      <c r="H111" s="69" t="s">
        <v>2317</v>
      </c>
      <c r="I111" s="73" t="s">
        <v>543</v>
      </c>
      <c r="J111" s="73" t="s">
        <v>991</v>
      </c>
      <c r="K111" s="69" t="s">
        <v>580</v>
      </c>
      <c r="L111" s="69" t="s">
        <v>1242</v>
      </c>
      <c r="M111" s="69" t="s">
        <v>533</v>
      </c>
      <c r="N111" s="69" t="s">
        <v>1242</v>
      </c>
      <c r="O111" s="69" t="s">
        <v>830</v>
      </c>
      <c r="P111" s="69" t="s">
        <v>1066</v>
      </c>
      <c r="Q111" s="69" t="s">
        <v>820</v>
      </c>
      <c r="R111" s="69" t="s">
        <v>153</v>
      </c>
      <c r="S111" s="69"/>
      <c r="T111" s="69"/>
      <c r="U111" s="69" t="s">
        <v>1556</v>
      </c>
      <c r="V111" s="71" t="s">
        <v>1572</v>
      </c>
      <c r="W111" s="72"/>
    </row>
    <row r="112" spans="1:23" ht="25.5" x14ac:dyDescent="0.15">
      <c r="A112" s="182"/>
      <c r="B112" s="166"/>
      <c r="C112" s="171"/>
      <c r="D112" s="67" t="s">
        <v>1568</v>
      </c>
      <c r="E112" s="68" t="s">
        <v>1908</v>
      </c>
      <c r="F112" s="68" t="s">
        <v>736</v>
      </c>
      <c r="G112" s="69" t="s">
        <v>47</v>
      </c>
      <c r="H112" s="69" t="s">
        <v>2317</v>
      </c>
      <c r="I112" s="73" t="s">
        <v>543</v>
      </c>
      <c r="J112" s="73" t="s">
        <v>991</v>
      </c>
      <c r="K112" s="69" t="s">
        <v>580</v>
      </c>
      <c r="L112" s="69" t="s">
        <v>1242</v>
      </c>
      <c r="M112" s="69" t="s">
        <v>533</v>
      </c>
      <c r="N112" s="69" t="s">
        <v>1242</v>
      </c>
      <c r="O112" s="69" t="s">
        <v>830</v>
      </c>
      <c r="P112" s="69" t="s">
        <v>736</v>
      </c>
      <c r="Q112" s="69" t="s">
        <v>820</v>
      </c>
      <c r="R112" s="69" t="s">
        <v>153</v>
      </c>
      <c r="S112" s="69"/>
      <c r="T112" s="69"/>
      <c r="U112" s="69" t="s">
        <v>1556</v>
      </c>
      <c r="V112" s="71" t="s">
        <v>1572</v>
      </c>
      <c r="W112" s="72"/>
    </row>
    <row r="113" spans="1:23" ht="25.5" x14ac:dyDescent="0.15">
      <c r="A113" s="182"/>
      <c r="B113" s="166"/>
      <c r="C113" s="171"/>
      <c r="D113" s="67" t="s">
        <v>1568</v>
      </c>
      <c r="E113" s="68" t="s">
        <v>2511</v>
      </c>
      <c r="F113" s="68" t="s">
        <v>1252</v>
      </c>
      <c r="G113" s="69" t="s">
        <v>47</v>
      </c>
      <c r="H113" s="69" t="s">
        <v>2317</v>
      </c>
      <c r="I113" s="73" t="s">
        <v>543</v>
      </c>
      <c r="J113" s="73" t="s">
        <v>991</v>
      </c>
      <c r="K113" s="69" t="s">
        <v>580</v>
      </c>
      <c r="L113" s="69" t="s">
        <v>1242</v>
      </c>
      <c r="M113" s="69" t="s">
        <v>533</v>
      </c>
      <c r="N113" s="69" t="s">
        <v>1242</v>
      </c>
      <c r="O113" s="69" t="s">
        <v>830</v>
      </c>
      <c r="P113" s="69" t="s">
        <v>1252</v>
      </c>
      <c r="Q113" s="69" t="s">
        <v>820</v>
      </c>
      <c r="R113" s="69" t="s">
        <v>153</v>
      </c>
      <c r="S113" s="69"/>
      <c r="T113" s="69"/>
      <c r="U113" s="69" t="s">
        <v>1556</v>
      </c>
      <c r="V113" s="71" t="s">
        <v>1572</v>
      </c>
      <c r="W113" s="72"/>
    </row>
    <row r="114" spans="1:23" ht="25.5" x14ac:dyDescent="0.15">
      <c r="A114" s="182"/>
      <c r="B114" s="167"/>
      <c r="C114" s="171"/>
      <c r="D114" s="67" t="s">
        <v>1568</v>
      </c>
      <c r="E114" s="68" t="s">
        <v>2302</v>
      </c>
      <c r="F114" s="68" t="s">
        <v>1043</v>
      </c>
      <c r="G114" s="69" t="s">
        <v>47</v>
      </c>
      <c r="H114" s="69" t="s">
        <v>2317</v>
      </c>
      <c r="I114" s="73" t="s">
        <v>543</v>
      </c>
      <c r="J114" s="73" t="s">
        <v>991</v>
      </c>
      <c r="K114" s="69" t="s">
        <v>580</v>
      </c>
      <c r="L114" s="69" t="s">
        <v>1242</v>
      </c>
      <c r="M114" s="69" t="s">
        <v>533</v>
      </c>
      <c r="N114" s="69" t="s">
        <v>1242</v>
      </c>
      <c r="O114" s="69" t="s">
        <v>830</v>
      </c>
      <c r="P114" s="69" t="s">
        <v>1043</v>
      </c>
      <c r="Q114" s="69" t="s">
        <v>820</v>
      </c>
      <c r="R114" s="69" t="s">
        <v>153</v>
      </c>
      <c r="S114" s="69"/>
      <c r="T114" s="69"/>
      <c r="U114" s="69" t="s">
        <v>1591</v>
      </c>
      <c r="V114" s="71" t="s">
        <v>1572</v>
      </c>
      <c r="W114" s="72"/>
    </row>
    <row r="115" spans="1:23" ht="14.25" customHeight="1" x14ac:dyDescent="0.15">
      <c r="A115" s="182"/>
      <c r="B115" s="165" t="s">
        <v>129</v>
      </c>
      <c r="C115" s="171" t="s">
        <v>1289</v>
      </c>
      <c r="D115" s="67" t="s">
        <v>939</v>
      </c>
      <c r="E115" s="68" t="s">
        <v>1811</v>
      </c>
      <c r="F115" s="68" t="s">
        <v>808</v>
      </c>
      <c r="G115" s="69" t="s">
        <v>1478</v>
      </c>
      <c r="H115" s="69" t="s">
        <v>1918</v>
      </c>
      <c r="I115" s="73" t="s">
        <v>829</v>
      </c>
      <c r="J115" s="73" t="s">
        <v>1755</v>
      </c>
      <c r="K115" s="69" t="s">
        <v>1526</v>
      </c>
      <c r="L115" s="69" t="s">
        <v>916</v>
      </c>
      <c r="M115" s="69" t="s">
        <v>1527</v>
      </c>
      <c r="N115" s="69" t="s">
        <v>916</v>
      </c>
      <c r="O115" s="69" t="s">
        <v>1543</v>
      </c>
      <c r="P115" s="69" t="s">
        <v>808</v>
      </c>
      <c r="Q115" s="69" t="s">
        <v>665</v>
      </c>
      <c r="R115" s="69" t="s">
        <v>1120</v>
      </c>
      <c r="S115" s="69"/>
      <c r="T115" s="69"/>
      <c r="U115" s="69" t="s">
        <v>1591</v>
      </c>
      <c r="V115" s="71" t="s">
        <v>1572</v>
      </c>
      <c r="W115" s="72"/>
    </row>
    <row r="116" spans="1:23" x14ac:dyDescent="0.15">
      <c r="A116" s="182"/>
      <c r="B116" s="166"/>
      <c r="C116" s="171"/>
      <c r="D116" s="67" t="s">
        <v>939</v>
      </c>
      <c r="E116" s="68" t="s">
        <v>1766</v>
      </c>
      <c r="F116" s="68" t="s">
        <v>905</v>
      </c>
      <c r="G116" s="69" t="s">
        <v>1478</v>
      </c>
      <c r="H116" s="69" t="s">
        <v>1918</v>
      </c>
      <c r="I116" s="73" t="s">
        <v>829</v>
      </c>
      <c r="J116" s="73" t="s">
        <v>1755</v>
      </c>
      <c r="K116" s="69" t="s">
        <v>1526</v>
      </c>
      <c r="L116" s="69" t="s">
        <v>916</v>
      </c>
      <c r="M116" s="69" t="s">
        <v>1527</v>
      </c>
      <c r="N116" s="69" t="s">
        <v>916</v>
      </c>
      <c r="O116" s="69" t="s">
        <v>1543</v>
      </c>
      <c r="P116" s="69" t="s">
        <v>905</v>
      </c>
      <c r="Q116" s="69" t="s">
        <v>665</v>
      </c>
      <c r="R116" s="69" t="s">
        <v>1120</v>
      </c>
      <c r="S116" s="69"/>
      <c r="T116" s="69"/>
      <c r="U116" s="69" t="s">
        <v>1591</v>
      </c>
      <c r="V116" s="71" t="s">
        <v>1572</v>
      </c>
      <c r="W116" s="72"/>
    </row>
    <row r="117" spans="1:23" ht="25.5" x14ac:dyDescent="0.15">
      <c r="A117" s="182"/>
      <c r="B117" s="166"/>
      <c r="C117" s="171"/>
      <c r="D117" s="67" t="s">
        <v>939</v>
      </c>
      <c r="E117" s="68" t="s">
        <v>2614</v>
      </c>
      <c r="F117" s="68" t="s">
        <v>1402</v>
      </c>
      <c r="G117" s="69" t="s">
        <v>1478</v>
      </c>
      <c r="H117" s="69" t="s">
        <v>1918</v>
      </c>
      <c r="I117" s="73" t="s">
        <v>1468</v>
      </c>
      <c r="J117" s="73" t="s">
        <v>984</v>
      </c>
      <c r="K117" s="69" t="s">
        <v>1526</v>
      </c>
      <c r="L117" s="69" t="s">
        <v>916</v>
      </c>
      <c r="M117" s="69" t="s">
        <v>587</v>
      </c>
      <c r="N117" s="69" t="s">
        <v>595</v>
      </c>
      <c r="O117" s="69" t="s">
        <v>1543</v>
      </c>
      <c r="P117" s="69" t="s">
        <v>1402</v>
      </c>
      <c r="Q117" s="69" t="s">
        <v>665</v>
      </c>
      <c r="R117" s="69" t="s">
        <v>1120</v>
      </c>
      <c r="S117" s="69"/>
      <c r="T117" s="69"/>
      <c r="U117" s="69" t="s">
        <v>1591</v>
      </c>
      <c r="V117" s="71" t="s">
        <v>1572</v>
      </c>
      <c r="W117" s="72"/>
    </row>
    <row r="118" spans="1:23" ht="25.5" x14ac:dyDescent="0.15">
      <c r="A118" s="182"/>
      <c r="B118" s="166"/>
      <c r="C118" s="171"/>
      <c r="D118" s="67" t="s">
        <v>1568</v>
      </c>
      <c r="E118" s="68" t="s">
        <v>1872</v>
      </c>
      <c r="F118" s="68" t="s">
        <v>1259</v>
      </c>
      <c r="G118" s="69" t="s">
        <v>1478</v>
      </c>
      <c r="H118" s="69" t="s">
        <v>1918</v>
      </c>
      <c r="I118" s="73" t="s">
        <v>829</v>
      </c>
      <c r="J118" s="73" t="s">
        <v>1755</v>
      </c>
      <c r="K118" s="69" t="s">
        <v>852</v>
      </c>
      <c r="L118" s="69" t="s">
        <v>595</v>
      </c>
      <c r="M118" s="69" t="s">
        <v>1527</v>
      </c>
      <c r="N118" s="69" t="s">
        <v>916</v>
      </c>
      <c r="O118" s="69" t="s">
        <v>1543</v>
      </c>
      <c r="P118" s="69" t="s">
        <v>1259</v>
      </c>
      <c r="Q118" s="69" t="s">
        <v>665</v>
      </c>
      <c r="R118" s="69" t="s">
        <v>1120</v>
      </c>
      <c r="S118" s="69"/>
      <c r="T118" s="69"/>
      <c r="U118" s="69" t="s">
        <v>1591</v>
      </c>
      <c r="V118" s="71" t="s">
        <v>1572</v>
      </c>
      <c r="W118" s="72"/>
    </row>
    <row r="119" spans="1:23" x14ac:dyDescent="0.15">
      <c r="A119" s="182"/>
      <c r="B119" s="166"/>
      <c r="C119" s="171"/>
      <c r="D119" s="67" t="s">
        <v>939</v>
      </c>
      <c r="E119" s="68" t="s">
        <v>1883</v>
      </c>
      <c r="F119" s="68" t="s">
        <v>41</v>
      </c>
      <c r="G119" s="69" t="s">
        <v>672</v>
      </c>
      <c r="H119" s="69" t="s">
        <v>1745</v>
      </c>
      <c r="I119" s="73" t="s">
        <v>535</v>
      </c>
      <c r="J119" s="73" t="s">
        <v>1737</v>
      </c>
      <c r="K119" s="69" t="s">
        <v>1526</v>
      </c>
      <c r="L119" s="69" t="s">
        <v>916</v>
      </c>
      <c r="M119" s="69" t="s">
        <v>1527</v>
      </c>
      <c r="N119" s="69" t="s">
        <v>916</v>
      </c>
      <c r="O119" s="69" t="s">
        <v>1411</v>
      </c>
      <c r="P119" s="69" t="s">
        <v>41</v>
      </c>
      <c r="Q119" s="69" t="s">
        <v>46</v>
      </c>
      <c r="R119" s="69" t="s">
        <v>1186</v>
      </c>
      <c r="S119" s="69"/>
      <c r="T119" s="69"/>
      <c r="U119" s="69" t="s">
        <v>1591</v>
      </c>
      <c r="V119" s="71" t="s">
        <v>1572</v>
      </c>
      <c r="W119" s="72"/>
    </row>
    <row r="120" spans="1:23" x14ac:dyDescent="0.15">
      <c r="A120" s="182"/>
      <c r="B120" s="166"/>
      <c r="C120" s="171"/>
      <c r="D120" s="67" t="s">
        <v>939</v>
      </c>
      <c r="E120" s="68" t="s">
        <v>2533</v>
      </c>
      <c r="F120" s="68" t="s">
        <v>618</v>
      </c>
      <c r="G120" s="69" t="s">
        <v>672</v>
      </c>
      <c r="H120" s="69" t="s">
        <v>1745</v>
      </c>
      <c r="I120" s="73" t="s">
        <v>535</v>
      </c>
      <c r="J120" s="73" t="s">
        <v>1737</v>
      </c>
      <c r="K120" s="69" t="s">
        <v>1526</v>
      </c>
      <c r="L120" s="69" t="s">
        <v>916</v>
      </c>
      <c r="M120" s="69" t="s">
        <v>1527</v>
      </c>
      <c r="N120" s="69" t="s">
        <v>916</v>
      </c>
      <c r="O120" s="69" t="s">
        <v>1411</v>
      </c>
      <c r="P120" s="69" t="s">
        <v>618</v>
      </c>
      <c r="Q120" s="69" t="s">
        <v>46</v>
      </c>
      <c r="R120" s="69" t="s">
        <v>1186</v>
      </c>
      <c r="S120" s="69"/>
      <c r="T120" s="69"/>
      <c r="U120" s="69" t="s">
        <v>1591</v>
      </c>
      <c r="V120" s="71" t="s">
        <v>1572</v>
      </c>
      <c r="W120" s="72"/>
    </row>
    <row r="121" spans="1:23" ht="25.5" x14ac:dyDescent="0.15">
      <c r="A121" s="182"/>
      <c r="B121" s="166"/>
      <c r="C121" s="171"/>
      <c r="D121" s="67" t="s">
        <v>939</v>
      </c>
      <c r="E121" s="68" t="s">
        <v>2408</v>
      </c>
      <c r="F121" s="68" t="s">
        <v>1533</v>
      </c>
      <c r="G121" s="69" t="s">
        <v>672</v>
      </c>
      <c r="H121" s="69" t="s">
        <v>1745</v>
      </c>
      <c r="I121" s="73" t="s">
        <v>557</v>
      </c>
      <c r="J121" s="73" t="s">
        <v>945</v>
      </c>
      <c r="K121" s="69" t="s">
        <v>1526</v>
      </c>
      <c r="L121" s="69" t="s">
        <v>916</v>
      </c>
      <c r="M121" s="69" t="s">
        <v>587</v>
      </c>
      <c r="N121" s="69" t="s">
        <v>595</v>
      </c>
      <c r="O121" s="69" t="s">
        <v>1411</v>
      </c>
      <c r="P121" s="69" t="s">
        <v>1533</v>
      </c>
      <c r="Q121" s="69" t="s">
        <v>46</v>
      </c>
      <c r="R121" s="69" t="s">
        <v>1186</v>
      </c>
      <c r="S121" s="69"/>
      <c r="T121" s="69"/>
      <c r="U121" s="69" t="s">
        <v>1591</v>
      </c>
      <c r="V121" s="71" t="s">
        <v>1572</v>
      </c>
      <c r="W121" s="72"/>
    </row>
    <row r="122" spans="1:23" ht="25.5" x14ac:dyDescent="0.15">
      <c r="A122" s="182"/>
      <c r="B122" s="166"/>
      <c r="C122" s="171"/>
      <c r="D122" s="67" t="s">
        <v>1568</v>
      </c>
      <c r="E122" s="68" t="s">
        <v>1772</v>
      </c>
      <c r="F122" s="68" t="s">
        <v>1256</v>
      </c>
      <c r="G122" s="69" t="s">
        <v>672</v>
      </c>
      <c r="H122" s="69" t="s">
        <v>1745</v>
      </c>
      <c r="I122" s="73" t="s">
        <v>535</v>
      </c>
      <c r="J122" s="73" t="s">
        <v>1737</v>
      </c>
      <c r="K122" s="69" t="s">
        <v>852</v>
      </c>
      <c r="L122" s="69" t="s">
        <v>595</v>
      </c>
      <c r="M122" s="69" t="s">
        <v>1527</v>
      </c>
      <c r="N122" s="69" t="s">
        <v>916</v>
      </c>
      <c r="O122" s="69" t="s">
        <v>1411</v>
      </c>
      <c r="P122" s="69" t="s">
        <v>1256</v>
      </c>
      <c r="Q122" s="69" t="s">
        <v>46</v>
      </c>
      <c r="R122" s="69" t="s">
        <v>1186</v>
      </c>
      <c r="S122" s="69"/>
      <c r="T122" s="69"/>
      <c r="U122" s="69" t="s">
        <v>1591</v>
      </c>
      <c r="V122" s="71" t="s">
        <v>1572</v>
      </c>
      <c r="W122" s="72"/>
    </row>
    <row r="123" spans="1:23" ht="25.5" x14ac:dyDescent="0.15">
      <c r="A123" s="182"/>
      <c r="B123" s="166"/>
      <c r="C123" s="171"/>
      <c r="D123" s="67" t="s">
        <v>939</v>
      </c>
      <c r="E123" s="68" t="s">
        <v>1965</v>
      </c>
      <c r="F123" s="68" t="s">
        <v>729</v>
      </c>
      <c r="G123" s="69" t="s">
        <v>624</v>
      </c>
      <c r="H123" s="69" t="s">
        <v>1517</v>
      </c>
      <c r="I123" s="73" t="s">
        <v>658</v>
      </c>
      <c r="J123" s="73" t="s">
        <v>1458</v>
      </c>
      <c r="K123" s="69" t="s">
        <v>1526</v>
      </c>
      <c r="L123" s="69" t="s">
        <v>916</v>
      </c>
      <c r="M123" s="69" t="s">
        <v>1527</v>
      </c>
      <c r="N123" s="69" t="s">
        <v>916</v>
      </c>
      <c r="O123" s="69" t="s">
        <v>613</v>
      </c>
      <c r="P123" s="69" t="s">
        <v>729</v>
      </c>
      <c r="Q123" s="69" t="s">
        <v>586</v>
      </c>
      <c r="R123" s="69" t="s">
        <v>258</v>
      </c>
      <c r="S123" s="69"/>
      <c r="T123" s="69"/>
      <c r="U123" s="69" t="s">
        <v>1591</v>
      </c>
      <c r="V123" s="71" t="s">
        <v>1572</v>
      </c>
      <c r="W123" s="72"/>
    </row>
    <row r="124" spans="1:23" ht="25.5" x14ac:dyDescent="0.15">
      <c r="A124" s="182"/>
      <c r="B124" s="166"/>
      <c r="C124" s="171"/>
      <c r="D124" s="67" t="s">
        <v>939</v>
      </c>
      <c r="E124" s="68" t="s">
        <v>2535</v>
      </c>
      <c r="F124" s="68" t="s">
        <v>743</v>
      </c>
      <c r="G124" s="69" t="s">
        <v>624</v>
      </c>
      <c r="H124" s="69" t="s">
        <v>1517</v>
      </c>
      <c r="I124" s="73" t="s">
        <v>658</v>
      </c>
      <c r="J124" s="73" t="s">
        <v>1458</v>
      </c>
      <c r="K124" s="69" t="s">
        <v>1526</v>
      </c>
      <c r="L124" s="69" t="s">
        <v>916</v>
      </c>
      <c r="M124" s="69" t="s">
        <v>1527</v>
      </c>
      <c r="N124" s="69" t="s">
        <v>916</v>
      </c>
      <c r="O124" s="69" t="s">
        <v>613</v>
      </c>
      <c r="P124" s="69" t="s">
        <v>743</v>
      </c>
      <c r="Q124" s="69" t="s">
        <v>586</v>
      </c>
      <c r="R124" s="69" t="s">
        <v>258</v>
      </c>
      <c r="S124" s="69"/>
      <c r="T124" s="69"/>
      <c r="U124" s="69" t="s">
        <v>1591</v>
      </c>
      <c r="V124" s="71" t="s">
        <v>1572</v>
      </c>
      <c r="W124" s="72"/>
    </row>
    <row r="125" spans="1:23" ht="25.5" x14ac:dyDescent="0.15">
      <c r="A125" s="182"/>
      <c r="B125" s="166"/>
      <c r="C125" s="171"/>
      <c r="D125" s="67" t="s">
        <v>939</v>
      </c>
      <c r="E125" s="68" t="s">
        <v>1700</v>
      </c>
      <c r="F125" s="68" t="s">
        <v>1310</v>
      </c>
      <c r="G125" s="69" t="s">
        <v>624</v>
      </c>
      <c r="H125" s="69" t="s">
        <v>1517</v>
      </c>
      <c r="I125" s="73" t="s">
        <v>1399</v>
      </c>
      <c r="J125" s="73" t="s">
        <v>2006</v>
      </c>
      <c r="K125" s="69" t="s">
        <v>1526</v>
      </c>
      <c r="L125" s="69" t="s">
        <v>916</v>
      </c>
      <c r="M125" s="69" t="s">
        <v>587</v>
      </c>
      <c r="N125" s="69" t="s">
        <v>595</v>
      </c>
      <c r="O125" s="69" t="s">
        <v>613</v>
      </c>
      <c r="P125" s="69" t="s">
        <v>1310</v>
      </c>
      <c r="Q125" s="69" t="s">
        <v>586</v>
      </c>
      <c r="R125" s="69" t="s">
        <v>258</v>
      </c>
      <c r="S125" s="69"/>
      <c r="T125" s="69"/>
      <c r="U125" s="69" t="s">
        <v>1591</v>
      </c>
      <c r="V125" s="71" t="s">
        <v>1572</v>
      </c>
      <c r="W125" s="72"/>
    </row>
    <row r="126" spans="1:23" ht="25.5" x14ac:dyDescent="0.15">
      <c r="A126" s="182"/>
      <c r="B126" s="166"/>
      <c r="C126" s="171"/>
      <c r="D126" s="67" t="s">
        <v>1568</v>
      </c>
      <c r="E126" s="68" t="s">
        <v>2542</v>
      </c>
      <c r="F126" s="68" t="s">
        <v>1129</v>
      </c>
      <c r="G126" s="69" t="s">
        <v>624</v>
      </c>
      <c r="H126" s="69" t="s">
        <v>1517</v>
      </c>
      <c r="I126" s="73" t="s">
        <v>658</v>
      </c>
      <c r="J126" s="73" t="s">
        <v>1458</v>
      </c>
      <c r="K126" s="69" t="s">
        <v>852</v>
      </c>
      <c r="L126" s="69" t="s">
        <v>595</v>
      </c>
      <c r="M126" s="69" t="s">
        <v>1527</v>
      </c>
      <c r="N126" s="69" t="s">
        <v>916</v>
      </c>
      <c r="O126" s="69" t="s">
        <v>613</v>
      </c>
      <c r="P126" s="69" t="s">
        <v>1129</v>
      </c>
      <c r="Q126" s="69" t="s">
        <v>586</v>
      </c>
      <c r="R126" s="69" t="s">
        <v>258</v>
      </c>
      <c r="S126" s="69"/>
      <c r="T126" s="69"/>
      <c r="U126" s="69" t="s">
        <v>1591</v>
      </c>
      <c r="V126" s="71" t="s">
        <v>1572</v>
      </c>
      <c r="W126" s="72"/>
    </row>
    <row r="127" spans="1:23" ht="38.25" x14ac:dyDescent="0.15">
      <c r="A127" s="182"/>
      <c r="B127" s="166"/>
      <c r="C127" s="171" t="s">
        <v>86</v>
      </c>
      <c r="D127" s="67" t="s">
        <v>1568</v>
      </c>
      <c r="E127" s="68" t="s">
        <v>1970</v>
      </c>
      <c r="F127" s="68" t="s">
        <v>1426</v>
      </c>
      <c r="G127" s="69" t="s">
        <v>833</v>
      </c>
      <c r="H127" s="69" t="s">
        <v>1405</v>
      </c>
      <c r="I127" s="73" t="s">
        <v>396</v>
      </c>
      <c r="J127" s="73" t="s">
        <v>204</v>
      </c>
      <c r="K127" s="69" t="s">
        <v>149</v>
      </c>
      <c r="L127" s="69" t="s">
        <v>214</v>
      </c>
      <c r="M127" s="69" t="s">
        <v>587</v>
      </c>
      <c r="N127" s="69" t="s">
        <v>595</v>
      </c>
      <c r="O127" s="69" t="s">
        <v>1525</v>
      </c>
      <c r="P127" s="69" t="s">
        <v>1426</v>
      </c>
      <c r="Q127" s="69" t="s">
        <v>653</v>
      </c>
      <c r="R127" s="69" t="s">
        <v>243</v>
      </c>
      <c r="S127" s="69"/>
      <c r="T127" s="69"/>
      <c r="U127" s="69" t="s">
        <v>1591</v>
      </c>
      <c r="V127" s="71" t="s">
        <v>1572</v>
      </c>
      <c r="W127" s="72"/>
    </row>
    <row r="128" spans="1:23" ht="38.25" x14ac:dyDescent="0.15">
      <c r="A128" s="182"/>
      <c r="B128" s="166"/>
      <c r="C128" s="171"/>
      <c r="D128" s="67" t="s">
        <v>1568</v>
      </c>
      <c r="E128" s="68" t="s">
        <v>2459</v>
      </c>
      <c r="F128" s="68" t="s">
        <v>832</v>
      </c>
      <c r="G128" s="69" t="s">
        <v>833</v>
      </c>
      <c r="H128" s="69" t="s">
        <v>1405</v>
      </c>
      <c r="I128" s="73" t="s">
        <v>396</v>
      </c>
      <c r="J128" s="73" t="s">
        <v>204</v>
      </c>
      <c r="K128" s="69" t="s">
        <v>149</v>
      </c>
      <c r="L128" s="69" t="s">
        <v>214</v>
      </c>
      <c r="M128" s="69" t="s">
        <v>587</v>
      </c>
      <c r="N128" s="69" t="s">
        <v>595</v>
      </c>
      <c r="O128" s="69" t="s">
        <v>1525</v>
      </c>
      <c r="P128" s="69" t="s">
        <v>832</v>
      </c>
      <c r="Q128" s="69" t="s">
        <v>653</v>
      </c>
      <c r="R128" s="69" t="s">
        <v>243</v>
      </c>
      <c r="S128" s="69"/>
      <c r="T128" s="69"/>
      <c r="U128" s="69" t="s">
        <v>1591</v>
      </c>
      <c r="V128" s="71" t="s">
        <v>1572</v>
      </c>
      <c r="W128" s="72"/>
    </row>
    <row r="129" spans="1:23" ht="14.25" customHeight="1" x14ac:dyDescent="0.15">
      <c r="A129" s="182"/>
      <c r="B129" s="166"/>
      <c r="C129" s="171" t="s">
        <v>1325</v>
      </c>
      <c r="D129" s="67" t="s">
        <v>1568</v>
      </c>
      <c r="E129" s="68" t="s">
        <v>2329</v>
      </c>
      <c r="F129" s="68" t="s">
        <v>981</v>
      </c>
      <c r="G129" s="69" t="s">
        <v>556</v>
      </c>
      <c r="H129" s="69" t="s">
        <v>1314</v>
      </c>
      <c r="I129" s="73" t="s">
        <v>677</v>
      </c>
      <c r="J129" s="73" t="s">
        <v>1537</v>
      </c>
      <c r="K129" s="69" t="s">
        <v>1526</v>
      </c>
      <c r="L129" s="69" t="s">
        <v>916</v>
      </c>
      <c r="M129" s="69" t="s">
        <v>1527</v>
      </c>
      <c r="N129" s="69" t="s">
        <v>916</v>
      </c>
      <c r="O129" s="69" t="s">
        <v>560</v>
      </c>
      <c r="P129" s="69" t="s">
        <v>981</v>
      </c>
      <c r="Q129" s="69" t="s">
        <v>1538</v>
      </c>
      <c r="R129" s="69" t="s">
        <v>1340</v>
      </c>
      <c r="S129" s="69"/>
      <c r="T129" s="69"/>
      <c r="U129" s="69" t="s">
        <v>1591</v>
      </c>
      <c r="V129" s="71" t="s">
        <v>1572</v>
      </c>
      <c r="W129" s="72"/>
    </row>
    <row r="130" spans="1:23" ht="38.25" x14ac:dyDescent="0.15">
      <c r="A130" s="182"/>
      <c r="B130" s="166"/>
      <c r="C130" s="171"/>
      <c r="D130" s="67" t="s">
        <v>1568</v>
      </c>
      <c r="E130" s="68" t="s">
        <v>1724</v>
      </c>
      <c r="F130" s="68" t="s">
        <v>2647</v>
      </c>
      <c r="G130" s="69" t="s">
        <v>556</v>
      </c>
      <c r="H130" s="69" t="s">
        <v>1314</v>
      </c>
      <c r="I130" s="73" t="s">
        <v>677</v>
      </c>
      <c r="J130" s="73" t="s">
        <v>1537</v>
      </c>
      <c r="K130" s="69" t="s">
        <v>1526</v>
      </c>
      <c r="L130" s="69" t="s">
        <v>916</v>
      </c>
      <c r="M130" s="69" t="s">
        <v>1527</v>
      </c>
      <c r="N130" s="69" t="s">
        <v>916</v>
      </c>
      <c r="O130" s="69" t="s">
        <v>560</v>
      </c>
      <c r="P130" s="69" t="s">
        <v>2647</v>
      </c>
      <c r="Q130" s="69" t="s">
        <v>1538</v>
      </c>
      <c r="R130" s="69" t="s">
        <v>1340</v>
      </c>
      <c r="S130" s="69"/>
      <c r="T130" s="69"/>
      <c r="U130" s="69" t="s">
        <v>1591</v>
      </c>
      <c r="V130" s="71" t="s">
        <v>1572</v>
      </c>
      <c r="W130" s="72"/>
    </row>
    <row r="131" spans="1:23" ht="25.5" x14ac:dyDescent="0.15">
      <c r="A131" s="182"/>
      <c r="B131" s="166"/>
      <c r="C131" s="171"/>
      <c r="D131" s="67" t="s">
        <v>1568</v>
      </c>
      <c r="E131" s="68" t="s">
        <v>2569</v>
      </c>
      <c r="F131" s="68" t="s">
        <v>733</v>
      </c>
      <c r="G131" s="69" t="s">
        <v>556</v>
      </c>
      <c r="H131" s="69" t="s">
        <v>1314</v>
      </c>
      <c r="I131" s="73" t="s">
        <v>677</v>
      </c>
      <c r="J131" s="73" t="s">
        <v>1537</v>
      </c>
      <c r="K131" s="69" t="s">
        <v>1526</v>
      </c>
      <c r="L131" s="69" t="s">
        <v>916</v>
      </c>
      <c r="M131" s="69" t="s">
        <v>1527</v>
      </c>
      <c r="N131" s="69" t="s">
        <v>916</v>
      </c>
      <c r="O131" s="69" t="s">
        <v>560</v>
      </c>
      <c r="P131" s="69" t="s">
        <v>733</v>
      </c>
      <c r="Q131" s="69" t="s">
        <v>1538</v>
      </c>
      <c r="R131" s="69" t="s">
        <v>1340</v>
      </c>
      <c r="S131" s="69"/>
      <c r="T131" s="69"/>
      <c r="U131" s="69" t="s">
        <v>1591</v>
      </c>
      <c r="V131" s="71" t="s">
        <v>1572</v>
      </c>
      <c r="W131" s="72"/>
    </row>
    <row r="132" spans="1:23" ht="25.5" x14ac:dyDescent="0.15">
      <c r="A132" s="182"/>
      <c r="B132" s="166"/>
      <c r="C132" s="171"/>
      <c r="D132" s="67" t="s">
        <v>1568</v>
      </c>
      <c r="E132" s="68" t="s">
        <v>2547</v>
      </c>
      <c r="F132" s="68" t="s">
        <v>1287</v>
      </c>
      <c r="G132" s="69" t="s">
        <v>556</v>
      </c>
      <c r="H132" s="69" t="s">
        <v>1314</v>
      </c>
      <c r="I132" s="73" t="s">
        <v>677</v>
      </c>
      <c r="J132" s="73" t="s">
        <v>1537</v>
      </c>
      <c r="K132" s="69" t="s">
        <v>1526</v>
      </c>
      <c r="L132" s="69" t="s">
        <v>916</v>
      </c>
      <c r="M132" s="69" t="s">
        <v>1527</v>
      </c>
      <c r="N132" s="69" t="s">
        <v>916</v>
      </c>
      <c r="O132" s="69" t="s">
        <v>560</v>
      </c>
      <c r="P132" s="69" t="s">
        <v>1287</v>
      </c>
      <c r="Q132" s="69" t="s">
        <v>1538</v>
      </c>
      <c r="R132" s="69" t="s">
        <v>1340</v>
      </c>
      <c r="S132" s="69"/>
      <c r="T132" s="69"/>
      <c r="U132" s="69" t="s">
        <v>1591</v>
      </c>
      <c r="V132" s="71" t="s">
        <v>1572</v>
      </c>
      <c r="W132" s="72"/>
    </row>
    <row r="133" spans="1:23" ht="25.5" x14ac:dyDescent="0.15">
      <c r="A133" s="182"/>
      <c r="B133" s="166"/>
      <c r="C133" s="171"/>
      <c r="D133" s="67" t="s">
        <v>1568</v>
      </c>
      <c r="E133" s="68" t="s">
        <v>2590</v>
      </c>
      <c r="F133" s="68" t="s">
        <v>1190</v>
      </c>
      <c r="G133" s="69" t="s">
        <v>589</v>
      </c>
      <c r="H133" s="69" t="s">
        <v>1022</v>
      </c>
      <c r="I133" s="73" t="s">
        <v>677</v>
      </c>
      <c r="J133" s="73" t="s">
        <v>1537</v>
      </c>
      <c r="K133" s="69" t="s">
        <v>1526</v>
      </c>
      <c r="L133" s="69" t="s">
        <v>916</v>
      </c>
      <c r="M133" s="69" t="s">
        <v>1527</v>
      </c>
      <c r="N133" s="69" t="s">
        <v>916</v>
      </c>
      <c r="O133" s="69" t="s">
        <v>560</v>
      </c>
      <c r="P133" s="69" t="s">
        <v>1190</v>
      </c>
      <c r="Q133" s="69" t="s">
        <v>1538</v>
      </c>
      <c r="R133" s="69" t="s">
        <v>1340</v>
      </c>
      <c r="S133" s="69"/>
      <c r="T133" s="69"/>
      <c r="U133" s="69" t="s">
        <v>1591</v>
      </c>
      <c r="V133" s="71" t="s">
        <v>1572</v>
      </c>
      <c r="W133" s="72"/>
    </row>
    <row r="134" spans="1:23" ht="25.5" x14ac:dyDescent="0.15">
      <c r="A134" s="182"/>
      <c r="B134" s="167"/>
      <c r="C134" s="171"/>
      <c r="D134" s="67" t="s">
        <v>1568</v>
      </c>
      <c r="E134" s="68" t="s">
        <v>2588</v>
      </c>
      <c r="F134" s="68" t="s">
        <v>304</v>
      </c>
      <c r="G134" s="69" t="s">
        <v>589</v>
      </c>
      <c r="H134" s="69" t="s">
        <v>1022</v>
      </c>
      <c r="I134" s="73" t="s">
        <v>677</v>
      </c>
      <c r="J134" s="73" t="s">
        <v>1537</v>
      </c>
      <c r="K134" s="69" t="s">
        <v>1526</v>
      </c>
      <c r="L134" s="69" t="s">
        <v>916</v>
      </c>
      <c r="M134" s="69" t="s">
        <v>1527</v>
      </c>
      <c r="N134" s="69" t="s">
        <v>916</v>
      </c>
      <c r="O134" s="69" t="s">
        <v>560</v>
      </c>
      <c r="P134" s="69" t="s">
        <v>304</v>
      </c>
      <c r="Q134" s="69" t="s">
        <v>1538</v>
      </c>
      <c r="R134" s="69" t="s">
        <v>1340</v>
      </c>
      <c r="S134" s="69"/>
      <c r="T134" s="69"/>
      <c r="U134" s="69" t="s">
        <v>1591</v>
      </c>
      <c r="V134" s="71" t="s">
        <v>1572</v>
      </c>
      <c r="W134" s="72"/>
    </row>
    <row r="135" spans="1:23" ht="14.25" customHeight="1" x14ac:dyDescent="0.15">
      <c r="A135" s="182"/>
      <c r="B135" s="165" t="s">
        <v>1339</v>
      </c>
      <c r="C135" s="171" t="s">
        <v>1257</v>
      </c>
      <c r="D135" s="67" t="s">
        <v>1568</v>
      </c>
      <c r="E135" s="68" t="s">
        <v>2616</v>
      </c>
      <c r="F135" s="68" t="s">
        <v>1422</v>
      </c>
      <c r="G135" s="69" t="s">
        <v>884</v>
      </c>
      <c r="H135" s="69" t="s">
        <v>1088</v>
      </c>
      <c r="I135" s="73" t="s">
        <v>567</v>
      </c>
      <c r="J135" s="73" t="s">
        <v>1329</v>
      </c>
      <c r="K135" s="69" t="s">
        <v>1515</v>
      </c>
      <c r="L135" s="69" t="s">
        <v>2580</v>
      </c>
      <c r="M135" s="69" t="s">
        <v>650</v>
      </c>
      <c r="N135" s="69" t="s">
        <v>2580</v>
      </c>
      <c r="O135" s="69" t="s">
        <v>1437</v>
      </c>
      <c r="P135" s="69" t="s">
        <v>1422</v>
      </c>
      <c r="Q135" s="69" t="s">
        <v>1429</v>
      </c>
      <c r="R135" s="69" t="s">
        <v>1209</v>
      </c>
      <c r="S135" s="69"/>
      <c r="T135" s="69"/>
      <c r="U135" s="69" t="s">
        <v>1556</v>
      </c>
      <c r="V135" s="71" t="s">
        <v>1572</v>
      </c>
      <c r="W135" s="72"/>
    </row>
    <row r="136" spans="1:23" ht="25.5" x14ac:dyDescent="0.15">
      <c r="A136" s="182"/>
      <c r="B136" s="166"/>
      <c r="C136" s="171"/>
      <c r="D136" s="67" t="s">
        <v>1568</v>
      </c>
      <c r="E136" s="68" t="s">
        <v>2482</v>
      </c>
      <c r="F136" s="68" t="s">
        <v>1267</v>
      </c>
      <c r="G136" s="69" t="s">
        <v>884</v>
      </c>
      <c r="H136" s="69" t="s">
        <v>1088</v>
      </c>
      <c r="I136" s="73" t="s">
        <v>567</v>
      </c>
      <c r="J136" s="73" t="s">
        <v>1329</v>
      </c>
      <c r="K136" s="69" t="s">
        <v>1515</v>
      </c>
      <c r="L136" s="69" t="s">
        <v>2580</v>
      </c>
      <c r="M136" s="69" t="s">
        <v>650</v>
      </c>
      <c r="N136" s="69" t="s">
        <v>2580</v>
      </c>
      <c r="O136" s="69" t="s">
        <v>1437</v>
      </c>
      <c r="P136" s="69" t="s">
        <v>1267</v>
      </c>
      <c r="Q136" s="69" t="s">
        <v>1429</v>
      </c>
      <c r="R136" s="69" t="s">
        <v>1209</v>
      </c>
      <c r="S136" s="69"/>
      <c r="T136" s="69"/>
      <c r="U136" s="69" t="s">
        <v>1556</v>
      </c>
      <c r="V136" s="71" t="s">
        <v>1572</v>
      </c>
      <c r="W136" s="72"/>
    </row>
    <row r="137" spans="1:23" ht="25.5" x14ac:dyDescent="0.15">
      <c r="A137" s="182"/>
      <c r="B137" s="166"/>
      <c r="C137" s="171"/>
      <c r="D137" s="67" t="s">
        <v>1568</v>
      </c>
      <c r="E137" s="68" t="s">
        <v>1692</v>
      </c>
      <c r="F137" s="68" t="s">
        <v>868</v>
      </c>
      <c r="G137" s="69" t="s">
        <v>884</v>
      </c>
      <c r="H137" s="69" t="s">
        <v>1088</v>
      </c>
      <c r="I137" s="73" t="s">
        <v>567</v>
      </c>
      <c r="J137" s="73" t="s">
        <v>1329</v>
      </c>
      <c r="K137" s="69" t="s">
        <v>1515</v>
      </c>
      <c r="L137" s="69" t="s">
        <v>2580</v>
      </c>
      <c r="M137" s="69" t="s">
        <v>650</v>
      </c>
      <c r="N137" s="69" t="s">
        <v>2580</v>
      </c>
      <c r="O137" s="69" t="s">
        <v>1437</v>
      </c>
      <c r="P137" s="69" t="s">
        <v>868</v>
      </c>
      <c r="Q137" s="69" t="s">
        <v>1429</v>
      </c>
      <c r="R137" s="69" t="s">
        <v>1209</v>
      </c>
      <c r="S137" s="69"/>
      <c r="T137" s="69"/>
      <c r="U137" s="69" t="s">
        <v>1556</v>
      </c>
      <c r="V137" s="71" t="s">
        <v>1572</v>
      </c>
      <c r="W137" s="72"/>
    </row>
    <row r="138" spans="1:23" ht="25.5" x14ac:dyDescent="0.15">
      <c r="A138" s="182"/>
      <c r="B138" s="166"/>
      <c r="C138" s="171"/>
      <c r="D138" s="67" t="s">
        <v>1568</v>
      </c>
      <c r="E138" s="68" t="s">
        <v>1898</v>
      </c>
      <c r="F138" s="68" t="s">
        <v>602</v>
      </c>
      <c r="G138" s="69" t="s">
        <v>884</v>
      </c>
      <c r="H138" s="69" t="s">
        <v>1088</v>
      </c>
      <c r="I138" s="73" t="s">
        <v>567</v>
      </c>
      <c r="J138" s="73" t="s">
        <v>1329</v>
      </c>
      <c r="K138" s="69" t="s">
        <v>1515</v>
      </c>
      <c r="L138" s="69" t="s">
        <v>2580</v>
      </c>
      <c r="M138" s="69" t="s">
        <v>650</v>
      </c>
      <c r="N138" s="69" t="s">
        <v>2580</v>
      </c>
      <c r="O138" s="69" t="s">
        <v>1437</v>
      </c>
      <c r="P138" s="69" t="s">
        <v>602</v>
      </c>
      <c r="Q138" s="69" t="s">
        <v>1429</v>
      </c>
      <c r="R138" s="69" t="s">
        <v>1209</v>
      </c>
      <c r="S138" s="69"/>
      <c r="T138" s="69"/>
      <c r="U138" s="69" t="s">
        <v>1556</v>
      </c>
      <c r="V138" s="71" t="s">
        <v>1572</v>
      </c>
      <c r="W138" s="72"/>
    </row>
    <row r="139" spans="1:23" ht="25.5" x14ac:dyDescent="0.15">
      <c r="A139" s="182"/>
      <c r="B139" s="166"/>
      <c r="C139" s="171"/>
      <c r="D139" s="67" t="s">
        <v>1568</v>
      </c>
      <c r="E139" s="68" t="s">
        <v>1734</v>
      </c>
      <c r="F139" s="68" t="s">
        <v>201</v>
      </c>
      <c r="G139" s="69" t="s">
        <v>884</v>
      </c>
      <c r="H139" s="69" t="s">
        <v>1088</v>
      </c>
      <c r="I139" s="73" t="s">
        <v>567</v>
      </c>
      <c r="J139" s="73" t="s">
        <v>1329</v>
      </c>
      <c r="K139" s="69" t="s">
        <v>1515</v>
      </c>
      <c r="L139" s="69" t="s">
        <v>2580</v>
      </c>
      <c r="M139" s="69" t="s">
        <v>650</v>
      </c>
      <c r="N139" s="69" t="s">
        <v>2580</v>
      </c>
      <c r="O139" s="69" t="s">
        <v>1437</v>
      </c>
      <c r="P139" s="69" t="s">
        <v>201</v>
      </c>
      <c r="Q139" s="69" t="s">
        <v>1429</v>
      </c>
      <c r="R139" s="69" t="s">
        <v>1209</v>
      </c>
      <c r="S139" s="69"/>
      <c r="T139" s="69"/>
      <c r="U139" s="69" t="s">
        <v>1556</v>
      </c>
      <c r="V139" s="71" t="s">
        <v>1572</v>
      </c>
      <c r="W139" s="72"/>
    </row>
    <row r="140" spans="1:23" ht="38.25" x14ac:dyDescent="0.15">
      <c r="A140" s="182"/>
      <c r="B140" s="166"/>
      <c r="C140" s="171"/>
      <c r="D140" s="67" t="s">
        <v>1568</v>
      </c>
      <c r="E140" s="68" t="s">
        <v>2470</v>
      </c>
      <c r="F140" s="68" t="s">
        <v>2660</v>
      </c>
      <c r="G140" s="69" t="s">
        <v>884</v>
      </c>
      <c r="H140" s="69" t="s">
        <v>1088</v>
      </c>
      <c r="I140" s="73" t="s">
        <v>567</v>
      </c>
      <c r="J140" s="73" t="s">
        <v>1329</v>
      </c>
      <c r="K140" s="69" t="s">
        <v>1515</v>
      </c>
      <c r="L140" s="69" t="s">
        <v>2580</v>
      </c>
      <c r="M140" s="69" t="s">
        <v>650</v>
      </c>
      <c r="N140" s="69" t="s">
        <v>2580</v>
      </c>
      <c r="O140" s="69" t="s">
        <v>1437</v>
      </c>
      <c r="P140" s="69" t="s">
        <v>2660</v>
      </c>
      <c r="Q140" s="69" t="s">
        <v>1429</v>
      </c>
      <c r="R140" s="69" t="s">
        <v>1209</v>
      </c>
      <c r="S140" s="69"/>
      <c r="T140" s="69"/>
      <c r="U140" s="69" t="s">
        <v>1556</v>
      </c>
      <c r="V140" s="71" t="s">
        <v>1572</v>
      </c>
      <c r="W140" s="72"/>
    </row>
    <row r="141" spans="1:23" ht="38.25" x14ac:dyDescent="0.15">
      <c r="A141" s="182"/>
      <c r="B141" s="166"/>
      <c r="C141" s="171"/>
      <c r="D141" s="67" t="s">
        <v>1568</v>
      </c>
      <c r="E141" s="68" t="s">
        <v>1885</v>
      </c>
      <c r="F141" s="68" t="s">
        <v>2662</v>
      </c>
      <c r="G141" s="69" t="s">
        <v>884</v>
      </c>
      <c r="H141" s="69" t="s">
        <v>1088</v>
      </c>
      <c r="I141" s="73" t="s">
        <v>567</v>
      </c>
      <c r="J141" s="73" t="s">
        <v>1329</v>
      </c>
      <c r="K141" s="69" t="s">
        <v>1515</v>
      </c>
      <c r="L141" s="69" t="s">
        <v>2580</v>
      </c>
      <c r="M141" s="69" t="s">
        <v>650</v>
      </c>
      <c r="N141" s="69" t="s">
        <v>2580</v>
      </c>
      <c r="O141" s="69" t="s">
        <v>1437</v>
      </c>
      <c r="P141" s="69" t="s">
        <v>2662</v>
      </c>
      <c r="Q141" s="69" t="s">
        <v>1429</v>
      </c>
      <c r="R141" s="69" t="s">
        <v>1209</v>
      </c>
      <c r="S141" s="69"/>
      <c r="T141" s="69"/>
      <c r="U141" s="69" t="s">
        <v>1556</v>
      </c>
      <c r="V141" s="71" t="s">
        <v>1572</v>
      </c>
      <c r="W141" s="72"/>
    </row>
    <row r="142" spans="1:23" ht="38.25" x14ac:dyDescent="0.15">
      <c r="A142" s="182"/>
      <c r="B142" s="166"/>
      <c r="C142" s="171"/>
      <c r="D142" s="67" t="s">
        <v>1568</v>
      </c>
      <c r="E142" s="68" t="s">
        <v>1962</v>
      </c>
      <c r="F142" s="68" t="s">
        <v>2640</v>
      </c>
      <c r="G142" s="69" t="s">
        <v>884</v>
      </c>
      <c r="H142" s="69" t="s">
        <v>1088</v>
      </c>
      <c r="I142" s="73" t="s">
        <v>567</v>
      </c>
      <c r="J142" s="73" t="s">
        <v>1329</v>
      </c>
      <c r="K142" s="69" t="s">
        <v>1515</v>
      </c>
      <c r="L142" s="69" t="s">
        <v>2580</v>
      </c>
      <c r="M142" s="69" t="s">
        <v>650</v>
      </c>
      <c r="N142" s="69" t="s">
        <v>2580</v>
      </c>
      <c r="O142" s="69" t="s">
        <v>1437</v>
      </c>
      <c r="P142" s="69" t="s">
        <v>2640</v>
      </c>
      <c r="Q142" s="69" t="s">
        <v>1429</v>
      </c>
      <c r="R142" s="69" t="s">
        <v>1209</v>
      </c>
      <c r="S142" s="69"/>
      <c r="T142" s="69"/>
      <c r="U142" s="69" t="s">
        <v>1556</v>
      </c>
      <c r="V142" s="71" t="s">
        <v>1572</v>
      </c>
      <c r="W142" s="72"/>
    </row>
    <row r="143" spans="1:23" ht="38.25" x14ac:dyDescent="0.15">
      <c r="A143" s="182"/>
      <c r="B143" s="167"/>
      <c r="C143" s="171"/>
      <c r="D143" s="67" t="s">
        <v>1568</v>
      </c>
      <c r="E143" s="68" t="s">
        <v>1964</v>
      </c>
      <c r="F143" s="68" t="s">
        <v>2710</v>
      </c>
      <c r="G143" s="69" t="s">
        <v>884</v>
      </c>
      <c r="H143" s="69" t="s">
        <v>1088</v>
      </c>
      <c r="I143" s="73" t="s">
        <v>567</v>
      </c>
      <c r="J143" s="73" t="s">
        <v>1329</v>
      </c>
      <c r="K143" s="69" t="s">
        <v>1515</v>
      </c>
      <c r="L143" s="69" t="s">
        <v>2580</v>
      </c>
      <c r="M143" s="69" t="s">
        <v>650</v>
      </c>
      <c r="N143" s="69" t="s">
        <v>2580</v>
      </c>
      <c r="O143" s="69" t="s">
        <v>1437</v>
      </c>
      <c r="P143" s="69" t="s">
        <v>2710</v>
      </c>
      <c r="Q143" s="69" t="s">
        <v>1429</v>
      </c>
      <c r="R143" s="69" t="s">
        <v>1209</v>
      </c>
      <c r="S143" s="69"/>
      <c r="T143" s="69"/>
      <c r="U143" s="69" t="s">
        <v>1556</v>
      </c>
      <c r="V143" s="71" t="s">
        <v>1572</v>
      </c>
      <c r="W143" s="72"/>
    </row>
    <row r="144" spans="1:23" ht="25.5" customHeight="1" x14ac:dyDescent="0.15">
      <c r="A144" s="182"/>
      <c r="B144" s="165" t="s">
        <v>162</v>
      </c>
      <c r="C144" s="171" t="s">
        <v>1197</v>
      </c>
      <c r="D144" s="67" t="s">
        <v>939</v>
      </c>
      <c r="E144" s="68" t="s">
        <v>2548</v>
      </c>
      <c r="F144" s="68" t="s">
        <v>1273</v>
      </c>
      <c r="G144" s="69" t="s">
        <v>856</v>
      </c>
      <c r="H144" s="69" t="s">
        <v>1084</v>
      </c>
      <c r="I144" s="73" t="s">
        <v>1425</v>
      </c>
      <c r="J144" s="73" t="s">
        <v>2008</v>
      </c>
      <c r="K144" s="69" t="s">
        <v>645</v>
      </c>
      <c r="L144" s="69" t="s">
        <v>2008</v>
      </c>
      <c r="M144" s="69" t="s">
        <v>627</v>
      </c>
      <c r="N144" s="69" t="s">
        <v>2008</v>
      </c>
      <c r="O144" s="69" t="s">
        <v>661</v>
      </c>
      <c r="P144" s="69" t="s">
        <v>1273</v>
      </c>
      <c r="Q144" s="69" t="s">
        <v>1470</v>
      </c>
      <c r="R144" s="69" t="s">
        <v>1280</v>
      </c>
      <c r="S144" s="69"/>
      <c r="T144" s="69"/>
      <c r="U144" s="69" t="s">
        <v>1556</v>
      </c>
      <c r="V144" s="71" t="s">
        <v>1572</v>
      </c>
      <c r="W144" s="72"/>
    </row>
    <row r="145" spans="1:23" ht="25.5" x14ac:dyDescent="0.15">
      <c r="A145" s="182"/>
      <c r="B145" s="166"/>
      <c r="C145" s="171"/>
      <c r="D145" s="67" t="s">
        <v>939</v>
      </c>
      <c r="E145" s="68" t="s">
        <v>1678</v>
      </c>
      <c r="F145" s="68" t="s">
        <v>747</v>
      </c>
      <c r="G145" s="69" t="s">
        <v>856</v>
      </c>
      <c r="H145" s="69" t="s">
        <v>1084</v>
      </c>
      <c r="I145" s="73" t="s">
        <v>1425</v>
      </c>
      <c r="J145" s="73" t="s">
        <v>2008</v>
      </c>
      <c r="K145" s="69" t="s">
        <v>645</v>
      </c>
      <c r="L145" s="69" t="s">
        <v>2008</v>
      </c>
      <c r="M145" s="69" t="s">
        <v>627</v>
      </c>
      <c r="N145" s="69" t="s">
        <v>2008</v>
      </c>
      <c r="O145" s="69" t="s">
        <v>661</v>
      </c>
      <c r="P145" s="69" t="s">
        <v>747</v>
      </c>
      <c r="Q145" s="69" t="s">
        <v>1470</v>
      </c>
      <c r="R145" s="69" t="s">
        <v>1280</v>
      </c>
      <c r="S145" s="69"/>
      <c r="T145" s="69"/>
      <c r="U145" s="69" t="s">
        <v>1556</v>
      </c>
      <c r="V145" s="71" t="s">
        <v>1572</v>
      </c>
      <c r="W145" s="72"/>
    </row>
    <row r="146" spans="1:23" ht="25.5" x14ac:dyDescent="0.15">
      <c r="A146" s="182"/>
      <c r="B146" s="166"/>
      <c r="C146" s="171"/>
      <c r="D146" s="67" t="s">
        <v>939</v>
      </c>
      <c r="E146" s="68" t="s">
        <v>2604</v>
      </c>
      <c r="F146" s="68" t="s">
        <v>1309</v>
      </c>
      <c r="G146" s="69" t="s">
        <v>856</v>
      </c>
      <c r="H146" s="69" t="s">
        <v>1084</v>
      </c>
      <c r="I146" s="73" t="s">
        <v>1425</v>
      </c>
      <c r="J146" s="73" t="s">
        <v>2008</v>
      </c>
      <c r="K146" s="69" t="s">
        <v>645</v>
      </c>
      <c r="L146" s="69" t="s">
        <v>2008</v>
      </c>
      <c r="M146" s="69" t="s">
        <v>627</v>
      </c>
      <c r="N146" s="69" t="s">
        <v>2008</v>
      </c>
      <c r="O146" s="69" t="s">
        <v>661</v>
      </c>
      <c r="P146" s="69" t="s">
        <v>1309</v>
      </c>
      <c r="Q146" s="69" t="s">
        <v>1470</v>
      </c>
      <c r="R146" s="69" t="s">
        <v>1280</v>
      </c>
      <c r="S146" s="69"/>
      <c r="T146" s="69"/>
      <c r="U146" s="69" t="s">
        <v>1556</v>
      </c>
      <c r="V146" s="71" t="s">
        <v>1572</v>
      </c>
      <c r="W146" s="72"/>
    </row>
    <row r="147" spans="1:23" ht="25.5" x14ac:dyDescent="0.15">
      <c r="A147" s="182"/>
      <c r="B147" s="166"/>
      <c r="C147" s="171"/>
      <c r="D147" s="67" t="s">
        <v>939</v>
      </c>
      <c r="E147" s="68" t="s">
        <v>2585</v>
      </c>
      <c r="F147" s="68" t="s">
        <v>1231</v>
      </c>
      <c r="G147" s="69" t="s">
        <v>856</v>
      </c>
      <c r="H147" s="69" t="s">
        <v>1084</v>
      </c>
      <c r="I147" s="73" t="s">
        <v>1425</v>
      </c>
      <c r="J147" s="73" t="s">
        <v>2008</v>
      </c>
      <c r="K147" s="69" t="s">
        <v>645</v>
      </c>
      <c r="L147" s="69" t="s">
        <v>2008</v>
      </c>
      <c r="M147" s="69" t="s">
        <v>627</v>
      </c>
      <c r="N147" s="69" t="s">
        <v>2008</v>
      </c>
      <c r="O147" s="69" t="s">
        <v>661</v>
      </c>
      <c r="P147" s="69" t="s">
        <v>1231</v>
      </c>
      <c r="Q147" s="69" t="s">
        <v>1470</v>
      </c>
      <c r="R147" s="69" t="s">
        <v>1280</v>
      </c>
      <c r="S147" s="69"/>
      <c r="T147" s="69"/>
      <c r="U147" s="69" t="s">
        <v>1556</v>
      </c>
      <c r="V147" s="71" t="s">
        <v>1572</v>
      </c>
      <c r="W147" s="72"/>
    </row>
    <row r="148" spans="1:23" ht="25.5" x14ac:dyDescent="0.15">
      <c r="A148" s="182"/>
      <c r="B148" s="166"/>
      <c r="C148" s="171"/>
      <c r="D148" s="67" t="s">
        <v>939</v>
      </c>
      <c r="E148" s="68" t="s">
        <v>1926</v>
      </c>
      <c r="F148" s="68" t="s">
        <v>1207</v>
      </c>
      <c r="G148" s="69" t="s">
        <v>856</v>
      </c>
      <c r="H148" s="69" t="s">
        <v>1084</v>
      </c>
      <c r="I148" s="73" t="s">
        <v>1425</v>
      </c>
      <c r="J148" s="73" t="s">
        <v>2008</v>
      </c>
      <c r="K148" s="69" t="s">
        <v>645</v>
      </c>
      <c r="L148" s="69" t="s">
        <v>2008</v>
      </c>
      <c r="M148" s="69" t="s">
        <v>627</v>
      </c>
      <c r="N148" s="69" t="s">
        <v>2008</v>
      </c>
      <c r="O148" s="69" t="s">
        <v>661</v>
      </c>
      <c r="P148" s="69" t="s">
        <v>1207</v>
      </c>
      <c r="Q148" s="69" t="s">
        <v>1470</v>
      </c>
      <c r="R148" s="69" t="s">
        <v>1280</v>
      </c>
      <c r="S148" s="69"/>
      <c r="T148" s="69"/>
      <c r="U148" s="69" t="s">
        <v>1556</v>
      </c>
      <c r="V148" s="71" t="s">
        <v>1572</v>
      </c>
      <c r="W148" s="72"/>
    </row>
    <row r="149" spans="1:23" ht="25.5" x14ac:dyDescent="0.15">
      <c r="A149" s="182"/>
      <c r="B149" s="166"/>
      <c r="C149" s="171"/>
      <c r="D149" s="67" t="s">
        <v>939</v>
      </c>
      <c r="E149" s="68" t="s">
        <v>1958</v>
      </c>
      <c r="F149" s="68" t="s">
        <v>1291</v>
      </c>
      <c r="G149" s="69" t="s">
        <v>856</v>
      </c>
      <c r="H149" s="69" t="s">
        <v>1084</v>
      </c>
      <c r="I149" s="73" t="s">
        <v>1425</v>
      </c>
      <c r="J149" s="73" t="s">
        <v>2008</v>
      </c>
      <c r="K149" s="69" t="s">
        <v>645</v>
      </c>
      <c r="L149" s="69" t="s">
        <v>2008</v>
      </c>
      <c r="M149" s="69" t="s">
        <v>627</v>
      </c>
      <c r="N149" s="69" t="s">
        <v>2008</v>
      </c>
      <c r="O149" s="69" t="s">
        <v>661</v>
      </c>
      <c r="P149" s="69" t="s">
        <v>1291</v>
      </c>
      <c r="Q149" s="69" t="s">
        <v>1470</v>
      </c>
      <c r="R149" s="69" t="s">
        <v>1280</v>
      </c>
      <c r="S149" s="69"/>
      <c r="T149" s="69"/>
      <c r="U149" s="69" t="s">
        <v>1556</v>
      </c>
      <c r="V149" s="71" t="s">
        <v>1572</v>
      </c>
      <c r="W149" s="72"/>
    </row>
    <row r="150" spans="1:23" ht="25.5" x14ac:dyDescent="0.15">
      <c r="A150" s="182"/>
      <c r="B150" s="166"/>
      <c r="C150" s="171"/>
      <c r="D150" s="67" t="s">
        <v>939</v>
      </c>
      <c r="E150" s="68" t="s">
        <v>2598</v>
      </c>
      <c r="F150" s="68" t="s">
        <v>762</v>
      </c>
      <c r="G150" s="69" t="s">
        <v>856</v>
      </c>
      <c r="H150" s="69" t="s">
        <v>1084</v>
      </c>
      <c r="I150" s="73" t="s">
        <v>1425</v>
      </c>
      <c r="J150" s="73" t="s">
        <v>2008</v>
      </c>
      <c r="K150" s="69" t="s">
        <v>645</v>
      </c>
      <c r="L150" s="69" t="s">
        <v>2008</v>
      </c>
      <c r="M150" s="69" t="s">
        <v>627</v>
      </c>
      <c r="N150" s="69" t="s">
        <v>2008</v>
      </c>
      <c r="O150" s="69" t="s">
        <v>661</v>
      </c>
      <c r="P150" s="69" t="s">
        <v>762</v>
      </c>
      <c r="Q150" s="69" t="s">
        <v>1470</v>
      </c>
      <c r="R150" s="69" t="s">
        <v>1280</v>
      </c>
      <c r="S150" s="69"/>
      <c r="T150" s="69"/>
      <c r="U150" s="69" t="s">
        <v>1556</v>
      </c>
      <c r="V150" s="71" t="s">
        <v>1572</v>
      </c>
      <c r="W150" s="72"/>
    </row>
    <row r="151" spans="1:23" ht="25.5" x14ac:dyDescent="0.15">
      <c r="A151" s="182"/>
      <c r="B151" s="166"/>
      <c r="C151" s="171"/>
      <c r="D151" s="67" t="s">
        <v>939</v>
      </c>
      <c r="E151" s="68" t="s">
        <v>2540</v>
      </c>
      <c r="F151" s="68" t="s">
        <v>1266</v>
      </c>
      <c r="G151" s="69" t="s">
        <v>856</v>
      </c>
      <c r="H151" s="69" t="s">
        <v>1084</v>
      </c>
      <c r="I151" s="73" t="s">
        <v>1425</v>
      </c>
      <c r="J151" s="73" t="s">
        <v>2008</v>
      </c>
      <c r="K151" s="69" t="s">
        <v>645</v>
      </c>
      <c r="L151" s="69" t="s">
        <v>2008</v>
      </c>
      <c r="M151" s="69" t="s">
        <v>627</v>
      </c>
      <c r="N151" s="69" t="s">
        <v>2008</v>
      </c>
      <c r="O151" s="69" t="s">
        <v>661</v>
      </c>
      <c r="P151" s="69" t="s">
        <v>1266</v>
      </c>
      <c r="Q151" s="69" t="s">
        <v>1470</v>
      </c>
      <c r="R151" s="69" t="s">
        <v>1280</v>
      </c>
      <c r="S151" s="69"/>
      <c r="T151" s="69"/>
      <c r="U151" s="69" t="s">
        <v>1556</v>
      </c>
      <c r="V151" s="71" t="s">
        <v>1572</v>
      </c>
      <c r="W151" s="72"/>
    </row>
    <row r="152" spans="1:23" ht="25.5" x14ac:dyDescent="0.15">
      <c r="A152" s="182"/>
      <c r="B152" s="166"/>
      <c r="C152" s="171"/>
      <c r="D152" s="67" t="s">
        <v>939</v>
      </c>
      <c r="E152" s="68" t="s">
        <v>2534</v>
      </c>
      <c r="F152" s="68" t="s">
        <v>1243</v>
      </c>
      <c r="G152" s="69" t="s">
        <v>856</v>
      </c>
      <c r="H152" s="69" t="s">
        <v>1084</v>
      </c>
      <c r="I152" s="73" t="s">
        <v>1425</v>
      </c>
      <c r="J152" s="73" t="s">
        <v>2008</v>
      </c>
      <c r="K152" s="69" t="s">
        <v>645</v>
      </c>
      <c r="L152" s="69" t="s">
        <v>2008</v>
      </c>
      <c r="M152" s="69" t="s">
        <v>627</v>
      </c>
      <c r="N152" s="69" t="s">
        <v>2008</v>
      </c>
      <c r="O152" s="69" t="s">
        <v>661</v>
      </c>
      <c r="P152" s="69" t="s">
        <v>1243</v>
      </c>
      <c r="Q152" s="69" t="s">
        <v>1470</v>
      </c>
      <c r="R152" s="69" t="s">
        <v>1280</v>
      </c>
      <c r="S152" s="69"/>
      <c r="T152" s="69"/>
      <c r="U152" s="69" t="s">
        <v>1591</v>
      </c>
      <c r="V152" s="71" t="s">
        <v>1572</v>
      </c>
      <c r="W152" s="72"/>
    </row>
    <row r="153" spans="1:23" ht="25.5" x14ac:dyDescent="0.15">
      <c r="A153" s="182"/>
      <c r="B153" s="166"/>
      <c r="C153" s="171"/>
      <c r="D153" s="67" t="s">
        <v>939</v>
      </c>
      <c r="E153" s="68" t="s">
        <v>1894</v>
      </c>
      <c r="F153" s="68" t="s">
        <v>1268</v>
      </c>
      <c r="G153" s="69" t="s">
        <v>856</v>
      </c>
      <c r="H153" s="69" t="s">
        <v>1084</v>
      </c>
      <c r="I153" s="73" t="s">
        <v>1425</v>
      </c>
      <c r="J153" s="73" t="s">
        <v>2008</v>
      </c>
      <c r="K153" s="69" t="s">
        <v>645</v>
      </c>
      <c r="L153" s="69" t="s">
        <v>2008</v>
      </c>
      <c r="M153" s="69" t="s">
        <v>627</v>
      </c>
      <c r="N153" s="69" t="s">
        <v>2008</v>
      </c>
      <c r="O153" s="69" t="s">
        <v>661</v>
      </c>
      <c r="P153" s="69" t="s">
        <v>1268</v>
      </c>
      <c r="Q153" s="69" t="s">
        <v>1470</v>
      </c>
      <c r="R153" s="69" t="s">
        <v>1280</v>
      </c>
      <c r="S153" s="69"/>
      <c r="T153" s="69"/>
      <c r="U153" s="69" t="s">
        <v>1591</v>
      </c>
      <c r="V153" s="71" t="s">
        <v>1572</v>
      </c>
      <c r="W153" s="72"/>
    </row>
    <row r="154" spans="1:23" ht="25.5" x14ac:dyDescent="0.15">
      <c r="A154" s="182"/>
      <c r="B154" s="166"/>
      <c r="C154" s="171"/>
      <c r="D154" s="67" t="s">
        <v>939</v>
      </c>
      <c r="E154" s="68" t="s">
        <v>2551</v>
      </c>
      <c r="F154" s="68" t="s">
        <v>1251</v>
      </c>
      <c r="G154" s="69" t="s">
        <v>856</v>
      </c>
      <c r="H154" s="69" t="s">
        <v>1084</v>
      </c>
      <c r="I154" s="73" t="s">
        <v>1425</v>
      </c>
      <c r="J154" s="73" t="s">
        <v>2008</v>
      </c>
      <c r="K154" s="69" t="s">
        <v>645</v>
      </c>
      <c r="L154" s="69" t="s">
        <v>2008</v>
      </c>
      <c r="M154" s="69" t="s">
        <v>627</v>
      </c>
      <c r="N154" s="69" t="s">
        <v>2008</v>
      </c>
      <c r="O154" s="69" t="s">
        <v>661</v>
      </c>
      <c r="P154" s="69" t="s">
        <v>1251</v>
      </c>
      <c r="Q154" s="69" t="s">
        <v>1470</v>
      </c>
      <c r="R154" s="69" t="s">
        <v>1280</v>
      </c>
      <c r="S154" s="69"/>
      <c r="T154" s="69"/>
      <c r="U154" s="69" t="s">
        <v>1591</v>
      </c>
      <c r="V154" s="71" t="s">
        <v>1572</v>
      </c>
      <c r="W154" s="72"/>
    </row>
    <row r="155" spans="1:23" ht="25.5" x14ac:dyDescent="0.15">
      <c r="A155" s="182"/>
      <c r="B155" s="166"/>
      <c r="C155" s="171"/>
      <c r="D155" s="67" t="s">
        <v>939</v>
      </c>
      <c r="E155" s="68" t="s">
        <v>2583</v>
      </c>
      <c r="F155" s="68" t="s">
        <v>1334</v>
      </c>
      <c r="G155" s="69" t="s">
        <v>856</v>
      </c>
      <c r="H155" s="69" t="s">
        <v>1084</v>
      </c>
      <c r="I155" s="73" t="s">
        <v>1425</v>
      </c>
      <c r="J155" s="73" t="s">
        <v>2008</v>
      </c>
      <c r="K155" s="69" t="s">
        <v>645</v>
      </c>
      <c r="L155" s="69" t="s">
        <v>2008</v>
      </c>
      <c r="M155" s="69" t="s">
        <v>627</v>
      </c>
      <c r="N155" s="69" t="s">
        <v>2008</v>
      </c>
      <c r="O155" s="69" t="s">
        <v>661</v>
      </c>
      <c r="P155" s="69" t="s">
        <v>1334</v>
      </c>
      <c r="Q155" s="69" t="s">
        <v>1470</v>
      </c>
      <c r="R155" s="69" t="s">
        <v>1280</v>
      </c>
      <c r="S155" s="69"/>
      <c r="T155" s="69"/>
      <c r="U155" s="69" t="s">
        <v>1591</v>
      </c>
      <c r="V155" s="71" t="s">
        <v>1572</v>
      </c>
      <c r="W155" s="72"/>
    </row>
    <row r="156" spans="1:23" ht="25.5" x14ac:dyDescent="0.15">
      <c r="A156" s="182"/>
      <c r="B156" s="166"/>
      <c r="C156" s="171"/>
      <c r="D156" s="67" t="s">
        <v>939</v>
      </c>
      <c r="E156" s="68" t="s">
        <v>1995</v>
      </c>
      <c r="F156" s="68" t="s">
        <v>1199</v>
      </c>
      <c r="G156" s="69" t="s">
        <v>856</v>
      </c>
      <c r="H156" s="69" t="s">
        <v>1084</v>
      </c>
      <c r="I156" s="73" t="s">
        <v>1425</v>
      </c>
      <c r="J156" s="73" t="s">
        <v>2008</v>
      </c>
      <c r="K156" s="69" t="s">
        <v>645</v>
      </c>
      <c r="L156" s="69" t="s">
        <v>2008</v>
      </c>
      <c r="M156" s="69" t="s">
        <v>627</v>
      </c>
      <c r="N156" s="69" t="s">
        <v>2008</v>
      </c>
      <c r="O156" s="69" t="s">
        <v>661</v>
      </c>
      <c r="P156" s="69" t="s">
        <v>1199</v>
      </c>
      <c r="Q156" s="69" t="s">
        <v>1470</v>
      </c>
      <c r="R156" s="69" t="s">
        <v>1280</v>
      </c>
      <c r="S156" s="69"/>
      <c r="T156" s="69"/>
      <c r="U156" s="69" t="s">
        <v>1591</v>
      </c>
      <c r="V156" s="71" t="s">
        <v>1572</v>
      </c>
      <c r="W156" s="72"/>
    </row>
    <row r="157" spans="1:23" ht="25.5" x14ac:dyDescent="0.15">
      <c r="A157" s="182"/>
      <c r="B157" s="166"/>
      <c r="C157" s="171"/>
      <c r="D157" s="67" t="s">
        <v>939</v>
      </c>
      <c r="E157" s="68" t="s">
        <v>2014</v>
      </c>
      <c r="F157" s="68" t="s">
        <v>1194</v>
      </c>
      <c r="G157" s="69" t="s">
        <v>856</v>
      </c>
      <c r="H157" s="69" t="s">
        <v>1084</v>
      </c>
      <c r="I157" s="73" t="s">
        <v>1425</v>
      </c>
      <c r="J157" s="73" t="s">
        <v>2008</v>
      </c>
      <c r="K157" s="69" t="s">
        <v>645</v>
      </c>
      <c r="L157" s="69" t="s">
        <v>2008</v>
      </c>
      <c r="M157" s="69" t="s">
        <v>627</v>
      </c>
      <c r="N157" s="69" t="s">
        <v>2008</v>
      </c>
      <c r="O157" s="69" t="s">
        <v>661</v>
      </c>
      <c r="P157" s="69" t="s">
        <v>1194</v>
      </c>
      <c r="Q157" s="69" t="s">
        <v>1470</v>
      </c>
      <c r="R157" s="69" t="s">
        <v>1280</v>
      </c>
      <c r="S157" s="69"/>
      <c r="T157" s="69"/>
      <c r="U157" s="69" t="s">
        <v>1591</v>
      </c>
      <c r="V157" s="71" t="s">
        <v>1572</v>
      </c>
      <c r="W157" s="72"/>
    </row>
    <row r="158" spans="1:23" ht="25.5" x14ac:dyDescent="0.15">
      <c r="A158" s="182"/>
      <c r="B158" s="166"/>
      <c r="C158" s="171"/>
      <c r="D158" s="67" t="s">
        <v>939</v>
      </c>
      <c r="E158" s="68" t="s">
        <v>1951</v>
      </c>
      <c r="F158" s="68" t="s">
        <v>1305</v>
      </c>
      <c r="G158" s="69" t="s">
        <v>856</v>
      </c>
      <c r="H158" s="69" t="s">
        <v>1084</v>
      </c>
      <c r="I158" s="73" t="s">
        <v>1425</v>
      </c>
      <c r="J158" s="73" t="s">
        <v>2008</v>
      </c>
      <c r="K158" s="69" t="s">
        <v>645</v>
      </c>
      <c r="L158" s="69" t="s">
        <v>2008</v>
      </c>
      <c r="M158" s="69" t="s">
        <v>627</v>
      </c>
      <c r="N158" s="69" t="s">
        <v>2008</v>
      </c>
      <c r="O158" s="69" t="s">
        <v>661</v>
      </c>
      <c r="P158" s="69" t="s">
        <v>1305</v>
      </c>
      <c r="Q158" s="69" t="s">
        <v>1470</v>
      </c>
      <c r="R158" s="69" t="s">
        <v>1280</v>
      </c>
      <c r="S158" s="69"/>
      <c r="T158" s="69"/>
      <c r="U158" s="69" t="s">
        <v>1591</v>
      </c>
      <c r="V158" s="71" t="s">
        <v>1572</v>
      </c>
      <c r="W158" s="72"/>
    </row>
    <row r="159" spans="1:23" ht="25.5" x14ac:dyDescent="0.15">
      <c r="A159" s="182"/>
      <c r="B159" s="166"/>
      <c r="C159" s="171"/>
      <c r="D159" s="67" t="s">
        <v>939</v>
      </c>
      <c r="E159" s="68" t="s">
        <v>2582</v>
      </c>
      <c r="F159" s="68" t="s">
        <v>1208</v>
      </c>
      <c r="G159" s="69" t="s">
        <v>856</v>
      </c>
      <c r="H159" s="69" t="s">
        <v>1084</v>
      </c>
      <c r="I159" s="73" t="s">
        <v>1425</v>
      </c>
      <c r="J159" s="73" t="s">
        <v>2008</v>
      </c>
      <c r="K159" s="69" t="s">
        <v>645</v>
      </c>
      <c r="L159" s="69" t="s">
        <v>2008</v>
      </c>
      <c r="M159" s="69" t="s">
        <v>627</v>
      </c>
      <c r="N159" s="69" t="s">
        <v>2008</v>
      </c>
      <c r="O159" s="69" t="s">
        <v>661</v>
      </c>
      <c r="P159" s="69" t="s">
        <v>1208</v>
      </c>
      <c r="Q159" s="69" t="s">
        <v>1470</v>
      </c>
      <c r="R159" s="69" t="s">
        <v>1280</v>
      </c>
      <c r="S159" s="69"/>
      <c r="T159" s="69"/>
      <c r="U159" s="69" t="s">
        <v>1591</v>
      </c>
      <c r="V159" s="71" t="s">
        <v>1572</v>
      </c>
      <c r="W159" s="72"/>
    </row>
    <row r="160" spans="1:23" ht="25.5" x14ac:dyDescent="0.15">
      <c r="A160" s="182"/>
      <c r="B160" s="166"/>
      <c r="C160" s="171"/>
      <c r="D160" s="67" t="s">
        <v>939</v>
      </c>
      <c r="E160" s="68" t="s">
        <v>2041</v>
      </c>
      <c r="F160" s="68" t="s">
        <v>1253</v>
      </c>
      <c r="G160" s="69" t="s">
        <v>856</v>
      </c>
      <c r="H160" s="69" t="s">
        <v>1084</v>
      </c>
      <c r="I160" s="73" t="s">
        <v>1425</v>
      </c>
      <c r="J160" s="73" t="s">
        <v>2008</v>
      </c>
      <c r="K160" s="69" t="s">
        <v>645</v>
      </c>
      <c r="L160" s="69" t="s">
        <v>2008</v>
      </c>
      <c r="M160" s="69" t="s">
        <v>627</v>
      </c>
      <c r="N160" s="69" t="s">
        <v>2008</v>
      </c>
      <c r="O160" s="69" t="s">
        <v>661</v>
      </c>
      <c r="P160" s="69" t="s">
        <v>1253</v>
      </c>
      <c r="Q160" s="69" t="s">
        <v>1470</v>
      </c>
      <c r="R160" s="69" t="s">
        <v>1280</v>
      </c>
      <c r="S160" s="69"/>
      <c r="T160" s="69"/>
      <c r="U160" s="69" t="s">
        <v>1556</v>
      </c>
      <c r="V160" s="71" t="s">
        <v>1572</v>
      </c>
      <c r="W160" s="72"/>
    </row>
    <row r="161" spans="1:23" ht="25.5" x14ac:dyDescent="0.15">
      <c r="A161" s="182"/>
      <c r="B161" s="166"/>
      <c r="C161" s="171"/>
      <c r="D161" s="67" t="s">
        <v>939</v>
      </c>
      <c r="E161" s="68" t="s">
        <v>2231</v>
      </c>
      <c r="F161" s="68" t="s">
        <v>1302</v>
      </c>
      <c r="G161" s="69" t="s">
        <v>856</v>
      </c>
      <c r="H161" s="69" t="s">
        <v>1084</v>
      </c>
      <c r="I161" s="73" t="s">
        <v>1425</v>
      </c>
      <c r="J161" s="73" t="s">
        <v>2008</v>
      </c>
      <c r="K161" s="69" t="s">
        <v>645</v>
      </c>
      <c r="L161" s="69" t="s">
        <v>2008</v>
      </c>
      <c r="M161" s="69" t="s">
        <v>627</v>
      </c>
      <c r="N161" s="69" t="s">
        <v>2008</v>
      </c>
      <c r="O161" s="69" t="s">
        <v>661</v>
      </c>
      <c r="P161" s="69" t="s">
        <v>1302</v>
      </c>
      <c r="Q161" s="69" t="s">
        <v>1470</v>
      </c>
      <c r="R161" s="69" t="s">
        <v>1280</v>
      </c>
      <c r="S161" s="69"/>
      <c r="T161" s="69"/>
      <c r="U161" s="69" t="s">
        <v>1556</v>
      </c>
      <c r="V161" s="71" t="s">
        <v>1572</v>
      </c>
      <c r="W161" s="72"/>
    </row>
    <row r="162" spans="1:23" ht="25.5" x14ac:dyDescent="0.15">
      <c r="A162" s="182"/>
      <c r="B162" s="166"/>
      <c r="C162" s="171"/>
      <c r="D162" s="67" t="s">
        <v>939</v>
      </c>
      <c r="E162" s="68" t="s">
        <v>2218</v>
      </c>
      <c r="F162" s="68" t="s">
        <v>760</v>
      </c>
      <c r="G162" s="69" t="s">
        <v>856</v>
      </c>
      <c r="H162" s="69" t="s">
        <v>1084</v>
      </c>
      <c r="I162" s="73" t="s">
        <v>1425</v>
      </c>
      <c r="J162" s="73" t="s">
        <v>2008</v>
      </c>
      <c r="K162" s="69" t="s">
        <v>645</v>
      </c>
      <c r="L162" s="69" t="s">
        <v>2008</v>
      </c>
      <c r="M162" s="69" t="s">
        <v>627</v>
      </c>
      <c r="N162" s="69" t="s">
        <v>2008</v>
      </c>
      <c r="O162" s="69" t="s">
        <v>661</v>
      </c>
      <c r="P162" s="69" t="s">
        <v>760</v>
      </c>
      <c r="Q162" s="69" t="s">
        <v>1470</v>
      </c>
      <c r="R162" s="69" t="s">
        <v>1280</v>
      </c>
      <c r="S162" s="69"/>
      <c r="T162" s="69"/>
      <c r="U162" s="69" t="s">
        <v>1556</v>
      </c>
      <c r="V162" s="71" t="s">
        <v>1572</v>
      </c>
      <c r="W162" s="72"/>
    </row>
    <row r="163" spans="1:23" ht="25.5" x14ac:dyDescent="0.15">
      <c r="A163" s="182"/>
      <c r="B163" s="166"/>
      <c r="C163" s="171"/>
      <c r="D163" s="67" t="s">
        <v>939</v>
      </c>
      <c r="E163" s="68" t="s">
        <v>2572</v>
      </c>
      <c r="F163" s="68" t="s">
        <v>742</v>
      </c>
      <c r="G163" s="69" t="s">
        <v>856</v>
      </c>
      <c r="H163" s="69" t="s">
        <v>1084</v>
      </c>
      <c r="I163" s="73" t="s">
        <v>1425</v>
      </c>
      <c r="J163" s="73" t="s">
        <v>2008</v>
      </c>
      <c r="K163" s="69" t="s">
        <v>645</v>
      </c>
      <c r="L163" s="69" t="s">
        <v>2008</v>
      </c>
      <c r="M163" s="69" t="s">
        <v>627</v>
      </c>
      <c r="N163" s="69" t="s">
        <v>2008</v>
      </c>
      <c r="O163" s="69" t="s">
        <v>661</v>
      </c>
      <c r="P163" s="69" t="s">
        <v>742</v>
      </c>
      <c r="Q163" s="69" t="s">
        <v>1470</v>
      </c>
      <c r="R163" s="69" t="s">
        <v>1280</v>
      </c>
      <c r="S163" s="69"/>
      <c r="T163" s="69"/>
      <c r="U163" s="69" t="s">
        <v>1556</v>
      </c>
      <c r="V163" s="71" t="s">
        <v>1572</v>
      </c>
      <c r="W163" s="72"/>
    </row>
    <row r="164" spans="1:23" ht="25.5" x14ac:dyDescent="0.15">
      <c r="A164" s="182"/>
      <c r="B164" s="166"/>
      <c r="C164" s="171"/>
      <c r="D164" s="67" t="s">
        <v>939</v>
      </c>
      <c r="E164" s="68" t="s">
        <v>1953</v>
      </c>
      <c r="F164" s="68" t="s">
        <v>1235</v>
      </c>
      <c r="G164" s="69" t="s">
        <v>856</v>
      </c>
      <c r="H164" s="69" t="s">
        <v>1084</v>
      </c>
      <c r="I164" s="73" t="s">
        <v>1425</v>
      </c>
      <c r="J164" s="73" t="s">
        <v>2008</v>
      </c>
      <c r="K164" s="69" t="s">
        <v>645</v>
      </c>
      <c r="L164" s="69" t="s">
        <v>2008</v>
      </c>
      <c r="M164" s="69" t="s">
        <v>627</v>
      </c>
      <c r="N164" s="69" t="s">
        <v>2008</v>
      </c>
      <c r="O164" s="69" t="s">
        <v>661</v>
      </c>
      <c r="P164" s="69" t="s">
        <v>1235</v>
      </c>
      <c r="Q164" s="69" t="s">
        <v>1470</v>
      </c>
      <c r="R164" s="69" t="s">
        <v>1280</v>
      </c>
      <c r="S164" s="69"/>
      <c r="T164" s="69"/>
      <c r="U164" s="69" t="s">
        <v>1591</v>
      </c>
      <c r="V164" s="71" t="s">
        <v>1572</v>
      </c>
      <c r="W164" s="72"/>
    </row>
    <row r="165" spans="1:23" ht="25.5" x14ac:dyDescent="0.15">
      <c r="A165" s="182"/>
      <c r="B165" s="166"/>
      <c r="C165" s="171"/>
      <c r="D165" s="67" t="s">
        <v>939</v>
      </c>
      <c r="E165" s="68" t="s">
        <v>2522</v>
      </c>
      <c r="F165" s="68" t="s">
        <v>1247</v>
      </c>
      <c r="G165" s="69" t="s">
        <v>856</v>
      </c>
      <c r="H165" s="69" t="s">
        <v>1084</v>
      </c>
      <c r="I165" s="73" t="s">
        <v>1425</v>
      </c>
      <c r="J165" s="73" t="s">
        <v>2008</v>
      </c>
      <c r="K165" s="69" t="s">
        <v>645</v>
      </c>
      <c r="L165" s="69" t="s">
        <v>2008</v>
      </c>
      <c r="M165" s="69" t="s">
        <v>627</v>
      </c>
      <c r="N165" s="69" t="s">
        <v>2008</v>
      </c>
      <c r="O165" s="69" t="s">
        <v>661</v>
      </c>
      <c r="P165" s="69" t="s">
        <v>1247</v>
      </c>
      <c r="Q165" s="69" t="s">
        <v>1470</v>
      </c>
      <c r="R165" s="69" t="s">
        <v>1280</v>
      </c>
      <c r="S165" s="69"/>
      <c r="T165" s="69"/>
      <c r="U165" s="69" t="s">
        <v>1591</v>
      </c>
      <c r="V165" s="71" t="s">
        <v>1572</v>
      </c>
      <c r="W165" s="72"/>
    </row>
    <row r="166" spans="1:23" ht="25.5" x14ac:dyDescent="0.15">
      <c r="A166" s="182"/>
      <c r="B166" s="166"/>
      <c r="C166" s="171"/>
      <c r="D166" s="67" t="s">
        <v>939</v>
      </c>
      <c r="E166" s="68" t="s">
        <v>2566</v>
      </c>
      <c r="F166" s="68" t="s">
        <v>1228</v>
      </c>
      <c r="G166" s="69" t="s">
        <v>856</v>
      </c>
      <c r="H166" s="69" t="s">
        <v>1084</v>
      </c>
      <c r="I166" s="73" t="s">
        <v>1425</v>
      </c>
      <c r="J166" s="73" t="s">
        <v>2008</v>
      </c>
      <c r="K166" s="69" t="s">
        <v>645</v>
      </c>
      <c r="L166" s="69" t="s">
        <v>2008</v>
      </c>
      <c r="M166" s="69" t="s">
        <v>627</v>
      </c>
      <c r="N166" s="69" t="s">
        <v>2008</v>
      </c>
      <c r="O166" s="69" t="s">
        <v>661</v>
      </c>
      <c r="P166" s="69" t="s">
        <v>1228</v>
      </c>
      <c r="Q166" s="69" t="s">
        <v>1470</v>
      </c>
      <c r="R166" s="69" t="s">
        <v>1280</v>
      </c>
      <c r="S166" s="69"/>
      <c r="T166" s="69"/>
      <c r="U166" s="69" t="s">
        <v>1591</v>
      </c>
      <c r="V166" s="71" t="s">
        <v>1572</v>
      </c>
      <c r="W166" s="72"/>
    </row>
    <row r="167" spans="1:23" ht="25.5" x14ac:dyDescent="0.15">
      <c r="A167" s="182"/>
      <c r="B167" s="166"/>
      <c r="C167" s="171"/>
      <c r="D167" s="67" t="s">
        <v>939</v>
      </c>
      <c r="E167" s="68" t="s">
        <v>1976</v>
      </c>
      <c r="F167" s="68" t="s">
        <v>737</v>
      </c>
      <c r="G167" s="69" t="s">
        <v>856</v>
      </c>
      <c r="H167" s="69" t="s">
        <v>1084</v>
      </c>
      <c r="I167" s="73" t="s">
        <v>1425</v>
      </c>
      <c r="J167" s="73" t="s">
        <v>2008</v>
      </c>
      <c r="K167" s="69" t="s">
        <v>645</v>
      </c>
      <c r="L167" s="69" t="s">
        <v>2008</v>
      </c>
      <c r="M167" s="69" t="s">
        <v>627</v>
      </c>
      <c r="N167" s="69" t="s">
        <v>2008</v>
      </c>
      <c r="O167" s="69" t="s">
        <v>661</v>
      </c>
      <c r="P167" s="69" t="s">
        <v>737</v>
      </c>
      <c r="Q167" s="69" t="s">
        <v>1470</v>
      </c>
      <c r="R167" s="69" t="s">
        <v>1280</v>
      </c>
      <c r="S167" s="69"/>
      <c r="T167" s="69"/>
      <c r="U167" s="69" t="s">
        <v>1591</v>
      </c>
      <c r="V167" s="71" t="s">
        <v>1572</v>
      </c>
      <c r="W167" s="72"/>
    </row>
    <row r="168" spans="1:23" ht="25.5" x14ac:dyDescent="0.15">
      <c r="A168" s="182"/>
      <c r="B168" s="166"/>
      <c r="C168" s="171"/>
      <c r="D168" s="67" t="s">
        <v>939</v>
      </c>
      <c r="E168" s="68" t="s">
        <v>2206</v>
      </c>
      <c r="F168" s="68" t="s">
        <v>1082</v>
      </c>
      <c r="G168" s="69" t="s">
        <v>856</v>
      </c>
      <c r="H168" s="69" t="s">
        <v>1084</v>
      </c>
      <c r="I168" s="73" t="s">
        <v>1425</v>
      </c>
      <c r="J168" s="73" t="s">
        <v>2008</v>
      </c>
      <c r="K168" s="69" t="s">
        <v>645</v>
      </c>
      <c r="L168" s="69" t="s">
        <v>2008</v>
      </c>
      <c r="M168" s="69" t="s">
        <v>627</v>
      </c>
      <c r="N168" s="69" t="s">
        <v>2008</v>
      </c>
      <c r="O168" s="69" t="s">
        <v>661</v>
      </c>
      <c r="P168" s="69" t="s">
        <v>1082</v>
      </c>
      <c r="Q168" s="69" t="s">
        <v>1470</v>
      </c>
      <c r="R168" s="69" t="s">
        <v>1280</v>
      </c>
      <c r="S168" s="69"/>
      <c r="T168" s="69"/>
      <c r="U168" s="69" t="s">
        <v>1556</v>
      </c>
      <c r="V168" s="71" t="s">
        <v>1572</v>
      </c>
      <c r="W168" s="72"/>
    </row>
    <row r="169" spans="1:23" ht="25.5" x14ac:dyDescent="0.15">
      <c r="A169" s="182"/>
      <c r="B169" s="166"/>
      <c r="C169" s="171"/>
      <c r="D169" s="67" t="s">
        <v>939</v>
      </c>
      <c r="E169" s="68" t="s">
        <v>2256</v>
      </c>
      <c r="F169" s="68" t="s">
        <v>1062</v>
      </c>
      <c r="G169" s="69" t="s">
        <v>856</v>
      </c>
      <c r="H169" s="69" t="s">
        <v>1084</v>
      </c>
      <c r="I169" s="73" t="s">
        <v>1425</v>
      </c>
      <c r="J169" s="73" t="s">
        <v>2008</v>
      </c>
      <c r="K169" s="69" t="s">
        <v>645</v>
      </c>
      <c r="L169" s="69" t="s">
        <v>2008</v>
      </c>
      <c r="M169" s="69" t="s">
        <v>627</v>
      </c>
      <c r="N169" s="69" t="s">
        <v>2008</v>
      </c>
      <c r="O169" s="69" t="s">
        <v>661</v>
      </c>
      <c r="P169" s="69" t="s">
        <v>1062</v>
      </c>
      <c r="Q169" s="69" t="s">
        <v>1470</v>
      </c>
      <c r="R169" s="69" t="s">
        <v>1280</v>
      </c>
      <c r="S169" s="69"/>
      <c r="T169" s="69"/>
      <c r="U169" s="69" t="s">
        <v>1556</v>
      </c>
      <c r="V169" s="71" t="s">
        <v>1572</v>
      </c>
      <c r="W169" s="72"/>
    </row>
    <row r="170" spans="1:23" ht="25.5" x14ac:dyDescent="0.15">
      <c r="A170" s="182"/>
      <c r="B170" s="166"/>
      <c r="C170" s="171"/>
      <c r="D170" s="67" t="s">
        <v>939</v>
      </c>
      <c r="E170" s="68" t="s">
        <v>1942</v>
      </c>
      <c r="F170" s="68" t="s">
        <v>1069</v>
      </c>
      <c r="G170" s="69" t="s">
        <v>856</v>
      </c>
      <c r="H170" s="69" t="s">
        <v>1084</v>
      </c>
      <c r="I170" s="73" t="s">
        <v>1425</v>
      </c>
      <c r="J170" s="73" t="s">
        <v>2008</v>
      </c>
      <c r="K170" s="69" t="s">
        <v>645</v>
      </c>
      <c r="L170" s="69" t="s">
        <v>2008</v>
      </c>
      <c r="M170" s="69" t="s">
        <v>627</v>
      </c>
      <c r="N170" s="69" t="s">
        <v>2008</v>
      </c>
      <c r="O170" s="69" t="s">
        <v>661</v>
      </c>
      <c r="P170" s="69" t="s">
        <v>1069</v>
      </c>
      <c r="Q170" s="69" t="s">
        <v>1470</v>
      </c>
      <c r="R170" s="69" t="s">
        <v>1280</v>
      </c>
      <c r="S170" s="69"/>
      <c r="T170" s="69"/>
      <c r="U170" s="69" t="s">
        <v>1556</v>
      </c>
      <c r="V170" s="71" t="s">
        <v>1572</v>
      </c>
      <c r="W170" s="72"/>
    </row>
    <row r="171" spans="1:23" ht="25.5" x14ac:dyDescent="0.15">
      <c r="A171" s="182"/>
      <c r="B171" s="166"/>
      <c r="C171" s="171"/>
      <c r="D171" s="67" t="s">
        <v>939</v>
      </c>
      <c r="E171" s="68" t="s">
        <v>2521</v>
      </c>
      <c r="F171" s="68" t="s">
        <v>1163</v>
      </c>
      <c r="G171" s="69" t="s">
        <v>856</v>
      </c>
      <c r="H171" s="69" t="s">
        <v>1084</v>
      </c>
      <c r="I171" s="73" t="s">
        <v>1425</v>
      </c>
      <c r="J171" s="73" t="s">
        <v>2008</v>
      </c>
      <c r="K171" s="69" t="s">
        <v>645</v>
      </c>
      <c r="L171" s="69" t="s">
        <v>2008</v>
      </c>
      <c r="M171" s="69" t="s">
        <v>627</v>
      </c>
      <c r="N171" s="69" t="s">
        <v>2008</v>
      </c>
      <c r="O171" s="69" t="s">
        <v>661</v>
      </c>
      <c r="P171" s="69" t="s">
        <v>1163</v>
      </c>
      <c r="Q171" s="69" t="s">
        <v>1470</v>
      </c>
      <c r="R171" s="69" t="s">
        <v>1280</v>
      </c>
      <c r="S171" s="69"/>
      <c r="T171" s="69"/>
      <c r="U171" s="69" t="s">
        <v>1556</v>
      </c>
      <c r="V171" s="71" t="s">
        <v>1572</v>
      </c>
      <c r="W171" s="72"/>
    </row>
    <row r="172" spans="1:23" ht="25.5" x14ac:dyDescent="0.15">
      <c r="A172" s="182"/>
      <c r="B172" s="166"/>
      <c r="C172" s="171"/>
      <c r="D172" s="67" t="s">
        <v>1568</v>
      </c>
      <c r="E172" s="68" t="s">
        <v>2545</v>
      </c>
      <c r="F172" s="68" t="s">
        <v>756</v>
      </c>
      <c r="G172" s="69" t="s">
        <v>856</v>
      </c>
      <c r="H172" s="69" t="s">
        <v>1084</v>
      </c>
      <c r="I172" s="73" t="s">
        <v>1425</v>
      </c>
      <c r="J172" s="73" t="s">
        <v>2008</v>
      </c>
      <c r="K172" s="69" t="s">
        <v>645</v>
      </c>
      <c r="L172" s="69" t="s">
        <v>2008</v>
      </c>
      <c r="M172" s="69" t="s">
        <v>627</v>
      </c>
      <c r="N172" s="69" t="s">
        <v>2008</v>
      </c>
      <c r="O172" s="69" t="s">
        <v>661</v>
      </c>
      <c r="P172" s="69" t="s">
        <v>756</v>
      </c>
      <c r="Q172" s="69" t="s">
        <v>1470</v>
      </c>
      <c r="R172" s="69" t="s">
        <v>1280</v>
      </c>
      <c r="S172" s="69"/>
      <c r="T172" s="69"/>
      <c r="U172" s="69" t="s">
        <v>1556</v>
      </c>
      <c r="V172" s="71" t="s">
        <v>1572</v>
      </c>
      <c r="W172" s="72"/>
    </row>
    <row r="173" spans="1:23" ht="25.5" x14ac:dyDescent="0.15">
      <c r="A173" s="182"/>
      <c r="B173" s="166"/>
      <c r="C173" s="171"/>
      <c r="D173" s="67" t="s">
        <v>1568</v>
      </c>
      <c r="E173" s="68" t="s">
        <v>2245</v>
      </c>
      <c r="F173" s="68" t="s">
        <v>752</v>
      </c>
      <c r="G173" s="69" t="s">
        <v>856</v>
      </c>
      <c r="H173" s="69" t="s">
        <v>1084</v>
      </c>
      <c r="I173" s="73" t="s">
        <v>1425</v>
      </c>
      <c r="J173" s="73" t="s">
        <v>2008</v>
      </c>
      <c r="K173" s="69" t="s">
        <v>645</v>
      </c>
      <c r="L173" s="69" t="s">
        <v>2008</v>
      </c>
      <c r="M173" s="69" t="s">
        <v>627</v>
      </c>
      <c r="N173" s="69" t="s">
        <v>2008</v>
      </c>
      <c r="O173" s="69" t="s">
        <v>661</v>
      </c>
      <c r="P173" s="69" t="s">
        <v>752</v>
      </c>
      <c r="Q173" s="69" t="s">
        <v>1470</v>
      </c>
      <c r="R173" s="69" t="s">
        <v>1280</v>
      </c>
      <c r="S173" s="69"/>
      <c r="T173" s="69"/>
      <c r="U173" s="69" t="s">
        <v>1556</v>
      </c>
      <c r="V173" s="71" t="s">
        <v>1572</v>
      </c>
      <c r="W173" s="72"/>
    </row>
    <row r="174" spans="1:23" ht="25.5" x14ac:dyDescent="0.15">
      <c r="A174" s="182"/>
      <c r="B174" s="166"/>
      <c r="C174" s="171"/>
      <c r="D174" s="67" t="s">
        <v>1568</v>
      </c>
      <c r="E174" s="68" t="s">
        <v>1870</v>
      </c>
      <c r="F174" s="68" t="s">
        <v>1298</v>
      </c>
      <c r="G174" s="69" t="s">
        <v>856</v>
      </c>
      <c r="H174" s="69" t="s">
        <v>1084</v>
      </c>
      <c r="I174" s="73" t="s">
        <v>1425</v>
      </c>
      <c r="J174" s="73" t="s">
        <v>2008</v>
      </c>
      <c r="K174" s="69" t="s">
        <v>645</v>
      </c>
      <c r="L174" s="69" t="s">
        <v>2008</v>
      </c>
      <c r="M174" s="69" t="s">
        <v>627</v>
      </c>
      <c r="N174" s="69" t="s">
        <v>2008</v>
      </c>
      <c r="O174" s="69" t="s">
        <v>661</v>
      </c>
      <c r="P174" s="69" t="s">
        <v>1298</v>
      </c>
      <c r="Q174" s="69" t="s">
        <v>1470</v>
      </c>
      <c r="R174" s="69" t="s">
        <v>1280</v>
      </c>
      <c r="S174" s="69"/>
      <c r="T174" s="69"/>
      <c r="U174" s="69" t="s">
        <v>1556</v>
      </c>
      <c r="V174" s="71" t="s">
        <v>1572</v>
      </c>
      <c r="W174" s="72"/>
    </row>
    <row r="175" spans="1:23" ht="25.5" x14ac:dyDescent="0.15">
      <c r="A175" s="182"/>
      <c r="B175" s="166"/>
      <c r="C175" s="171"/>
      <c r="D175" s="67" t="s">
        <v>1568</v>
      </c>
      <c r="E175" s="68" t="s">
        <v>2561</v>
      </c>
      <c r="F175" s="68" t="s">
        <v>1296</v>
      </c>
      <c r="G175" s="69" t="s">
        <v>856</v>
      </c>
      <c r="H175" s="69" t="s">
        <v>1084</v>
      </c>
      <c r="I175" s="73" t="s">
        <v>1425</v>
      </c>
      <c r="J175" s="73" t="s">
        <v>2008</v>
      </c>
      <c r="K175" s="69" t="s">
        <v>645</v>
      </c>
      <c r="L175" s="69" t="s">
        <v>2008</v>
      </c>
      <c r="M175" s="69" t="s">
        <v>627</v>
      </c>
      <c r="N175" s="69" t="s">
        <v>2008</v>
      </c>
      <c r="O175" s="69" t="s">
        <v>661</v>
      </c>
      <c r="P175" s="69" t="s">
        <v>1296</v>
      </c>
      <c r="Q175" s="69" t="s">
        <v>1470</v>
      </c>
      <c r="R175" s="69" t="s">
        <v>1280</v>
      </c>
      <c r="S175" s="69"/>
      <c r="T175" s="69"/>
      <c r="U175" s="69" t="s">
        <v>1556</v>
      </c>
      <c r="V175" s="71" t="s">
        <v>1572</v>
      </c>
      <c r="W175" s="72"/>
    </row>
    <row r="176" spans="1:23" ht="25.5" x14ac:dyDescent="0.15">
      <c r="A176" s="182"/>
      <c r="B176" s="166"/>
      <c r="C176" s="171"/>
      <c r="D176" s="67" t="s">
        <v>1568</v>
      </c>
      <c r="E176" s="68" t="s">
        <v>2209</v>
      </c>
      <c r="F176" s="68" t="s">
        <v>1053</v>
      </c>
      <c r="G176" s="69" t="s">
        <v>856</v>
      </c>
      <c r="H176" s="69" t="s">
        <v>1084</v>
      </c>
      <c r="I176" s="73" t="s">
        <v>1425</v>
      </c>
      <c r="J176" s="73" t="s">
        <v>2008</v>
      </c>
      <c r="K176" s="69" t="s">
        <v>645</v>
      </c>
      <c r="L176" s="69" t="s">
        <v>2008</v>
      </c>
      <c r="M176" s="69" t="s">
        <v>627</v>
      </c>
      <c r="N176" s="69" t="s">
        <v>2008</v>
      </c>
      <c r="O176" s="69" t="s">
        <v>661</v>
      </c>
      <c r="P176" s="69" t="s">
        <v>1053</v>
      </c>
      <c r="Q176" s="69" t="s">
        <v>1470</v>
      </c>
      <c r="R176" s="69" t="s">
        <v>1280</v>
      </c>
      <c r="S176" s="69"/>
      <c r="T176" s="69"/>
      <c r="U176" s="69" t="s">
        <v>1556</v>
      </c>
      <c r="V176" s="71" t="s">
        <v>1572</v>
      </c>
      <c r="W176" s="72"/>
    </row>
    <row r="177" spans="1:23" ht="25.5" x14ac:dyDescent="0.15">
      <c r="A177" s="182"/>
      <c r="B177" s="166"/>
      <c r="C177" s="171"/>
      <c r="D177" s="67" t="s">
        <v>1568</v>
      </c>
      <c r="E177" s="68" t="s">
        <v>2586</v>
      </c>
      <c r="F177" s="68" t="s">
        <v>1145</v>
      </c>
      <c r="G177" s="69" t="s">
        <v>856</v>
      </c>
      <c r="H177" s="69" t="s">
        <v>1084</v>
      </c>
      <c r="I177" s="73" t="s">
        <v>1425</v>
      </c>
      <c r="J177" s="73" t="s">
        <v>2008</v>
      </c>
      <c r="K177" s="69" t="s">
        <v>645</v>
      </c>
      <c r="L177" s="69" t="s">
        <v>2008</v>
      </c>
      <c r="M177" s="69" t="s">
        <v>627</v>
      </c>
      <c r="N177" s="69" t="s">
        <v>2008</v>
      </c>
      <c r="O177" s="69" t="s">
        <v>661</v>
      </c>
      <c r="P177" s="69" t="s">
        <v>1145</v>
      </c>
      <c r="Q177" s="69" t="s">
        <v>1470</v>
      </c>
      <c r="R177" s="69" t="s">
        <v>1280</v>
      </c>
      <c r="S177" s="69"/>
      <c r="T177" s="69"/>
      <c r="U177" s="69" t="s">
        <v>1556</v>
      </c>
      <c r="V177" s="71" t="s">
        <v>1572</v>
      </c>
      <c r="W177" s="72"/>
    </row>
    <row r="178" spans="1:23" ht="25.5" x14ac:dyDescent="0.15">
      <c r="A178" s="182"/>
      <c r="B178" s="166"/>
      <c r="C178" s="171"/>
      <c r="D178" s="67" t="s">
        <v>1568</v>
      </c>
      <c r="E178" s="68" t="s">
        <v>1859</v>
      </c>
      <c r="F178" s="68" t="s">
        <v>1065</v>
      </c>
      <c r="G178" s="69" t="s">
        <v>856</v>
      </c>
      <c r="H178" s="69" t="s">
        <v>1084</v>
      </c>
      <c r="I178" s="73" t="s">
        <v>1425</v>
      </c>
      <c r="J178" s="73" t="s">
        <v>2008</v>
      </c>
      <c r="K178" s="69" t="s">
        <v>645</v>
      </c>
      <c r="L178" s="69" t="s">
        <v>2008</v>
      </c>
      <c r="M178" s="69" t="s">
        <v>627</v>
      </c>
      <c r="N178" s="69" t="s">
        <v>2008</v>
      </c>
      <c r="O178" s="69" t="s">
        <v>661</v>
      </c>
      <c r="P178" s="69" t="s">
        <v>1065</v>
      </c>
      <c r="Q178" s="69" t="s">
        <v>1470</v>
      </c>
      <c r="R178" s="69" t="s">
        <v>1280</v>
      </c>
      <c r="S178" s="69"/>
      <c r="T178" s="69"/>
      <c r="U178" s="69" t="s">
        <v>1556</v>
      </c>
      <c r="V178" s="71" t="s">
        <v>1572</v>
      </c>
      <c r="W178" s="72"/>
    </row>
    <row r="179" spans="1:23" ht="25.5" x14ac:dyDescent="0.15">
      <c r="A179" s="182"/>
      <c r="B179" s="166"/>
      <c r="C179" s="171"/>
      <c r="D179" s="67" t="s">
        <v>939</v>
      </c>
      <c r="E179" s="68" t="s">
        <v>2403</v>
      </c>
      <c r="F179" s="68" t="s">
        <v>750</v>
      </c>
      <c r="G179" s="69" t="s">
        <v>874</v>
      </c>
      <c r="H179" s="69" t="s">
        <v>1028</v>
      </c>
      <c r="I179" s="73" t="s">
        <v>1425</v>
      </c>
      <c r="J179" s="73" t="s">
        <v>2008</v>
      </c>
      <c r="K179" s="69" t="s">
        <v>645</v>
      </c>
      <c r="L179" s="69" t="s">
        <v>2008</v>
      </c>
      <c r="M179" s="69" t="s">
        <v>627</v>
      </c>
      <c r="N179" s="69" t="s">
        <v>2008</v>
      </c>
      <c r="O179" s="69" t="s">
        <v>668</v>
      </c>
      <c r="P179" s="69" t="s">
        <v>750</v>
      </c>
      <c r="Q179" s="69" t="s">
        <v>571</v>
      </c>
      <c r="R179" s="69" t="s">
        <v>1032</v>
      </c>
      <c r="S179" s="69"/>
      <c r="T179" s="69"/>
      <c r="U179" s="69" t="s">
        <v>1556</v>
      </c>
      <c r="V179" s="71" t="s">
        <v>1572</v>
      </c>
      <c r="W179" s="72"/>
    </row>
    <row r="180" spans="1:23" ht="25.5" x14ac:dyDescent="0.15">
      <c r="A180" s="182"/>
      <c r="B180" s="166"/>
      <c r="C180" s="171"/>
      <c r="D180" s="67" t="s">
        <v>939</v>
      </c>
      <c r="E180" s="68" t="s">
        <v>2546</v>
      </c>
      <c r="F180" s="68" t="s">
        <v>1130</v>
      </c>
      <c r="G180" s="69" t="s">
        <v>874</v>
      </c>
      <c r="H180" s="69" t="s">
        <v>1028</v>
      </c>
      <c r="I180" s="73" t="s">
        <v>1425</v>
      </c>
      <c r="J180" s="73" t="s">
        <v>2008</v>
      </c>
      <c r="K180" s="69" t="s">
        <v>645</v>
      </c>
      <c r="L180" s="69" t="s">
        <v>2008</v>
      </c>
      <c r="M180" s="69" t="s">
        <v>627</v>
      </c>
      <c r="N180" s="69" t="s">
        <v>2008</v>
      </c>
      <c r="O180" s="69" t="s">
        <v>668</v>
      </c>
      <c r="P180" s="69" t="s">
        <v>1130</v>
      </c>
      <c r="Q180" s="69" t="s">
        <v>571</v>
      </c>
      <c r="R180" s="69" t="s">
        <v>1032</v>
      </c>
      <c r="S180" s="69"/>
      <c r="T180" s="69"/>
      <c r="U180" s="69" t="s">
        <v>1556</v>
      </c>
      <c r="V180" s="71" t="s">
        <v>1572</v>
      </c>
      <c r="W180" s="72"/>
    </row>
    <row r="181" spans="1:23" ht="25.5" x14ac:dyDescent="0.15">
      <c r="A181" s="182"/>
      <c r="B181" s="166"/>
      <c r="C181" s="171"/>
      <c r="D181" s="67" t="s">
        <v>939</v>
      </c>
      <c r="E181" s="68" t="s">
        <v>1973</v>
      </c>
      <c r="F181" s="68" t="s">
        <v>1264</v>
      </c>
      <c r="G181" s="69" t="s">
        <v>874</v>
      </c>
      <c r="H181" s="69" t="s">
        <v>1028</v>
      </c>
      <c r="I181" s="73" t="s">
        <v>1425</v>
      </c>
      <c r="J181" s="73" t="s">
        <v>2008</v>
      </c>
      <c r="K181" s="69" t="s">
        <v>645</v>
      </c>
      <c r="L181" s="69" t="s">
        <v>2008</v>
      </c>
      <c r="M181" s="69" t="s">
        <v>627</v>
      </c>
      <c r="N181" s="69" t="s">
        <v>2008</v>
      </c>
      <c r="O181" s="69" t="s">
        <v>668</v>
      </c>
      <c r="P181" s="69" t="s">
        <v>1264</v>
      </c>
      <c r="Q181" s="69" t="s">
        <v>571</v>
      </c>
      <c r="R181" s="69" t="s">
        <v>1032</v>
      </c>
      <c r="S181" s="69"/>
      <c r="T181" s="69"/>
      <c r="U181" s="69" t="s">
        <v>1556</v>
      </c>
      <c r="V181" s="71" t="s">
        <v>1572</v>
      </c>
      <c r="W181" s="72"/>
    </row>
    <row r="182" spans="1:23" ht="25.5" x14ac:dyDescent="0.15">
      <c r="A182" s="182"/>
      <c r="B182" s="166"/>
      <c r="C182" s="171"/>
      <c r="D182" s="67" t="s">
        <v>939</v>
      </c>
      <c r="E182" s="68" t="s">
        <v>2568</v>
      </c>
      <c r="F182" s="68" t="s">
        <v>1063</v>
      </c>
      <c r="G182" s="69" t="s">
        <v>874</v>
      </c>
      <c r="H182" s="69" t="s">
        <v>1028</v>
      </c>
      <c r="I182" s="73" t="s">
        <v>1425</v>
      </c>
      <c r="J182" s="73" t="s">
        <v>2008</v>
      </c>
      <c r="K182" s="69" t="s">
        <v>645</v>
      </c>
      <c r="L182" s="69" t="s">
        <v>2008</v>
      </c>
      <c r="M182" s="69" t="s">
        <v>627</v>
      </c>
      <c r="N182" s="69" t="s">
        <v>2008</v>
      </c>
      <c r="O182" s="69" t="s">
        <v>668</v>
      </c>
      <c r="P182" s="69" t="s">
        <v>1063</v>
      </c>
      <c r="Q182" s="69" t="s">
        <v>571</v>
      </c>
      <c r="R182" s="69" t="s">
        <v>1032</v>
      </c>
      <c r="S182" s="69"/>
      <c r="T182" s="69"/>
      <c r="U182" s="69" t="s">
        <v>1556</v>
      </c>
      <c r="V182" s="71" t="s">
        <v>1572</v>
      </c>
      <c r="W182" s="72"/>
    </row>
    <row r="183" spans="1:23" ht="25.5" x14ac:dyDescent="0.15">
      <c r="A183" s="182"/>
      <c r="B183" s="166"/>
      <c r="C183" s="171"/>
      <c r="D183" s="67" t="s">
        <v>939</v>
      </c>
      <c r="E183" s="68" t="s">
        <v>2536</v>
      </c>
      <c r="F183" s="68" t="s">
        <v>1238</v>
      </c>
      <c r="G183" s="69" t="s">
        <v>874</v>
      </c>
      <c r="H183" s="69" t="s">
        <v>1028</v>
      </c>
      <c r="I183" s="73" t="s">
        <v>1425</v>
      </c>
      <c r="J183" s="73" t="s">
        <v>2008</v>
      </c>
      <c r="K183" s="69" t="s">
        <v>645</v>
      </c>
      <c r="L183" s="69" t="s">
        <v>2008</v>
      </c>
      <c r="M183" s="69" t="s">
        <v>627</v>
      </c>
      <c r="N183" s="69" t="s">
        <v>2008</v>
      </c>
      <c r="O183" s="69" t="s">
        <v>668</v>
      </c>
      <c r="P183" s="69" t="s">
        <v>1238</v>
      </c>
      <c r="Q183" s="69" t="s">
        <v>571</v>
      </c>
      <c r="R183" s="69" t="s">
        <v>1032</v>
      </c>
      <c r="S183" s="69"/>
      <c r="T183" s="69"/>
      <c r="U183" s="69" t="s">
        <v>1556</v>
      </c>
      <c r="V183" s="71" t="s">
        <v>1572</v>
      </c>
      <c r="W183" s="72"/>
    </row>
    <row r="184" spans="1:23" ht="25.5" x14ac:dyDescent="0.15">
      <c r="A184" s="182"/>
      <c r="B184" s="166"/>
      <c r="C184" s="171"/>
      <c r="D184" s="67" t="s">
        <v>939</v>
      </c>
      <c r="E184" s="68" t="s">
        <v>1909</v>
      </c>
      <c r="F184" s="68" t="s">
        <v>1177</v>
      </c>
      <c r="G184" s="69" t="s">
        <v>874</v>
      </c>
      <c r="H184" s="69" t="s">
        <v>1028</v>
      </c>
      <c r="I184" s="73" t="s">
        <v>1425</v>
      </c>
      <c r="J184" s="73" t="s">
        <v>2008</v>
      </c>
      <c r="K184" s="69" t="s">
        <v>645</v>
      </c>
      <c r="L184" s="69" t="s">
        <v>2008</v>
      </c>
      <c r="M184" s="69" t="s">
        <v>627</v>
      </c>
      <c r="N184" s="69" t="s">
        <v>2008</v>
      </c>
      <c r="O184" s="69" t="s">
        <v>668</v>
      </c>
      <c r="P184" s="69" t="s">
        <v>1177</v>
      </c>
      <c r="Q184" s="69" t="s">
        <v>571</v>
      </c>
      <c r="R184" s="69" t="s">
        <v>1032</v>
      </c>
      <c r="S184" s="69"/>
      <c r="T184" s="69"/>
      <c r="U184" s="69" t="s">
        <v>1556</v>
      </c>
      <c r="V184" s="71" t="s">
        <v>1572</v>
      </c>
      <c r="W184" s="72"/>
    </row>
    <row r="185" spans="1:23" ht="25.5" x14ac:dyDescent="0.15">
      <c r="A185" s="182"/>
      <c r="B185" s="166"/>
      <c r="C185" s="171"/>
      <c r="D185" s="67" t="s">
        <v>939</v>
      </c>
      <c r="E185" s="68" t="s">
        <v>2387</v>
      </c>
      <c r="F185" s="68" t="s">
        <v>1156</v>
      </c>
      <c r="G185" s="69" t="s">
        <v>874</v>
      </c>
      <c r="H185" s="69" t="s">
        <v>1028</v>
      </c>
      <c r="I185" s="73" t="s">
        <v>1425</v>
      </c>
      <c r="J185" s="73" t="s">
        <v>2008</v>
      </c>
      <c r="K185" s="69" t="s">
        <v>645</v>
      </c>
      <c r="L185" s="69" t="s">
        <v>2008</v>
      </c>
      <c r="M185" s="69" t="s">
        <v>627</v>
      </c>
      <c r="N185" s="69" t="s">
        <v>2008</v>
      </c>
      <c r="O185" s="69" t="s">
        <v>668</v>
      </c>
      <c r="P185" s="69" t="s">
        <v>1156</v>
      </c>
      <c r="Q185" s="69" t="s">
        <v>571</v>
      </c>
      <c r="R185" s="69" t="s">
        <v>1032</v>
      </c>
      <c r="S185" s="69"/>
      <c r="T185" s="69"/>
      <c r="U185" s="69" t="s">
        <v>1556</v>
      </c>
      <c r="V185" s="71" t="s">
        <v>1572</v>
      </c>
      <c r="W185" s="72"/>
    </row>
    <row r="186" spans="1:23" ht="25.5" x14ac:dyDescent="0.15">
      <c r="A186" s="183"/>
      <c r="B186" s="167"/>
      <c r="C186" s="171"/>
      <c r="D186" s="67" t="s">
        <v>939</v>
      </c>
      <c r="E186" s="68" t="s">
        <v>1848</v>
      </c>
      <c r="F186" s="68" t="s">
        <v>1068</v>
      </c>
      <c r="G186" s="69" t="s">
        <v>874</v>
      </c>
      <c r="H186" s="69" t="s">
        <v>1028</v>
      </c>
      <c r="I186" s="73" t="s">
        <v>1425</v>
      </c>
      <c r="J186" s="73" t="s">
        <v>2008</v>
      </c>
      <c r="K186" s="69" t="s">
        <v>645</v>
      </c>
      <c r="L186" s="69" t="s">
        <v>2008</v>
      </c>
      <c r="M186" s="69" t="s">
        <v>627</v>
      </c>
      <c r="N186" s="69" t="s">
        <v>2008</v>
      </c>
      <c r="O186" s="69" t="s">
        <v>668</v>
      </c>
      <c r="P186" s="69" t="s">
        <v>1068</v>
      </c>
      <c r="Q186" s="69" t="s">
        <v>571</v>
      </c>
      <c r="R186" s="69" t="s">
        <v>1032</v>
      </c>
      <c r="S186" s="69"/>
      <c r="T186" s="69"/>
      <c r="U186" s="69" t="s">
        <v>1556</v>
      </c>
      <c r="V186" s="71" t="s">
        <v>1572</v>
      </c>
      <c r="W186" s="72"/>
    </row>
    <row r="187" spans="1:23" ht="25.5" customHeight="1" x14ac:dyDescent="0.15">
      <c r="A187" s="165" t="s">
        <v>1335</v>
      </c>
      <c r="B187" s="165" t="s">
        <v>2715</v>
      </c>
      <c r="C187" s="171" t="s">
        <v>2618</v>
      </c>
      <c r="D187" s="67" t="s">
        <v>1568</v>
      </c>
      <c r="E187" s="68" t="s">
        <v>2219</v>
      </c>
      <c r="F187" s="68" t="s">
        <v>294</v>
      </c>
      <c r="G187" s="69" t="s">
        <v>1456</v>
      </c>
      <c r="H187" s="69" t="s">
        <v>1112</v>
      </c>
      <c r="I187" s="73" t="s">
        <v>1467</v>
      </c>
      <c r="J187" s="73" t="s">
        <v>986</v>
      </c>
      <c r="K187" s="69" t="s">
        <v>1500</v>
      </c>
      <c r="L187" s="69" t="s">
        <v>986</v>
      </c>
      <c r="M187" s="69" t="s">
        <v>819</v>
      </c>
      <c r="N187" s="69" t="s">
        <v>986</v>
      </c>
      <c r="O187" s="69" t="s">
        <v>1512</v>
      </c>
      <c r="P187" s="69" t="s">
        <v>294</v>
      </c>
      <c r="Q187" s="69" t="s">
        <v>1496</v>
      </c>
      <c r="R187" s="69" t="s">
        <v>127</v>
      </c>
      <c r="S187" s="69"/>
      <c r="T187" s="69"/>
      <c r="U187" s="69" t="s">
        <v>1556</v>
      </c>
      <c r="V187" s="71" t="s">
        <v>1555</v>
      </c>
      <c r="W187" s="74" t="s">
        <v>766</v>
      </c>
    </row>
    <row r="188" spans="1:23" ht="25.5" x14ac:dyDescent="0.15">
      <c r="A188" s="166"/>
      <c r="B188" s="166"/>
      <c r="C188" s="171"/>
      <c r="D188" s="67" t="s">
        <v>1568</v>
      </c>
      <c r="E188" s="68" t="s">
        <v>2280</v>
      </c>
      <c r="F188" s="68" t="s">
        <v>316</v>
      </c>
      <c r="G188" s="69" t="s">
        <v>1456</v>
      </c>
      <c r="H188" s="69" t="s">
        <v>1112</v>
      </c>
      <c r="I188" s="73" t="s">
        <v>1467</v>
      </c>
      <c r="J188" s="73" t="s">
        <v>986</v>
      </c>
      <c r="K188" s="69" t="s">
        <v>1500</v>
      </c>
      <c r="L188" s="69" t="s">
        <v>986</v>
      </c>
      <c r="M188" s="69" t="s">
        <v>819</v>
      </c>
      <c r="N188" s="69" t="s">
        <v>986</v>
      </c>
      <c r="O188" s="69" t="s">
        <v>1512</v>
      </c>
      <c r="P188" s="69" t="s">
        <v>316</v>
      </c>
      <c r="Q188" s="69" t="s">
        <v>1496</v>
      </c>
      <c r="R188" s="69" t="s">
        <v>127</v>
      </c>
      <c r="S188" s="69"/>
      <c r="T188" s="69"/>
      <c r="U188" s="69" t="s">
        <v>1556</v>
      </c>
      <c r="V188" s="71" t="s">
        <v>1572</v>
      </c>
      <c r="W188" s="72"/>
    </row>
    <row r="189" spans="1:23" ht="25.5" x14ac:dyDescent="0.15">
      <c r="A189" s="166"/>
      <c r="B189" s="166"/>
      <c r="C189" s="171"/>
      <c r="D189" s="67" t="s">
        <v>1568</v>
      </c>
      <c r="E189" s="68" t="s">
        <v>1980</v>
      </c>
      <c r="F189" s="68" t="s">
        <v>306</v>
      </c>
      <c r="G189" s="69" t="s">
        <v>1456</v>
      </c>
      <c r="H189" s="69" t="s">
        <v>1112</v>
      </c>
      <c r="I189" s="73" t="s">
        <v>1467</v>
      </c>
      <c r="J189" s="73" t="s">
        <v>986</v>
      </c>
      <c r="K189" s="69" t="s">
        <v>1500</v>
      </c>
      <c r="L189" s="69" t="s">
        <v>986</v>
      </c>
      <c r="M189" s="69" t="s">
        <v>819</v>
      </c>
      <c r="N189" s="69" t="s">
        <v>986</v>
      </c>
      <c r="O189" s="69" t="s">
        <v>1512</v>
      </c>
      <c r="P189" s="69" t="s">
        <v>306</v>
      </c>
      <c r="Q189" s="69" t="s">
        <v>1496</v>
      </c>
      <c r="R189" s="69" t="s">
        <v>127</v>
      </c>
      <c r="S189" s="69"/>
      <c r="T189" s="69"/>
      <c r="U189" s="69" t="s">
        <v>1556</v>
      </c>
      <c r="V189" s="71" t="s">
        <v>1572</v>
      </c>
      <c r="W189" s="72"/>
    </row>
    <row r="190" spans="1:23" ht="25.5" x14ac:dyDescent="0.15">
      <c r="A190" s="166"/>
      <c r="B190" s="166"/>
      <c r="C190" s="171"/>
      <c r="D190" s="67" t="s">
        <v>1568</v>
      </c>
      <c r="E190" s="68" t="s">
        <v>2560</v>
      </c>
      <c r="F190" s="68" t="s">
        <v>234</v>
      </c>
      <c r="G190" s="69" t="s">
        <v>1456</v>
      </c>
      <c r="H190" s="69" t="s">
        <v>1112</v>
      </c>
      <c r="I190" s="73" t="s">
        <v>1467</v>
      </c>
      <c r="J190" s="73" t="s">
        <v>986</v>
      </c>
      <c r="K190" s="69" t="s">
        <v>1500</v>
      </c>
      <c r="L190" s="69" t="s">
        <v>986</v>
      </c>
      <c r="M190" s="69" t="s">
        <v>819</v>
      </c>
      <c r="N190" s="69" t="s">
        <v>986</v>
      </c>
      <c r="O190" s="69" t="s">
        <v>1512</v>
      </c>
      <c r="P190" s="69" t="s">
        <v>234</v>
      </c>
      <c r="Q190" s="69" t="s">
        <v>1496</v>
      </c>
      <c r="R190" s="69" t="s">
        <v>127</v>
      </c>
      <c r="S190" s="69"/>
      <c r="T190" s="69"/>
      <c r="U190" s="69" t="s">
        <v>1556</v>
      </c>
      <c r="V190" s="71" t="s">
        <v>1572</v>
      </c>
      <c r="W190" s="72"/>
    </row>
    <row r="191" spans="1:23" ht="25.5" x14ac:dyDescent="0.15">
      <c r="A191" s="166"/>
      <c r="B191" s="166"/>
      <c r="C191" s="171"/>
      <c r="D191" s="67" t="s">
        <v>1568</v>
      </c>
      <c r="E191" s="68" t="s">
        <v>2046</v>
      </c>
      <c r="F191" s="68" t="s">
        <v>334</v>
      </c>
      <c r="G191" s="69" t="s">
        <v>1456</v>
      </c>
      <c r="H191" s="69" t="s">
        <v>1112</v>
      </c>
      <c r="I191" s="73" t="s">
        <v>1467</v>
      </c>
      <c r="J191" s="73" t="s">
        <v>986</v>
      </c>
      <c r="K191" s="69" t="s">
        <v>1500</v>
      </c>
      <c r="L191" s="69" t="s">
        <v>986</v>
      </c>
      <c r="M191" s="69" t="s">
        <v>819</v>
      </c>
      <c r="N191" s="69" t="s">
        <v>986</v>
      </c>
      <c r="O191" s="69" t="s">
        <v>1512</v>
      </c>
      <c r="P191" s="69" t="s">
        <v>334</v>
      </c>
      <c r="Q191" s="69" t="s">
        <v>1496</v>
      </c>
      <c r="R191" s="69" t="s">
        <v>127</v>
      </c>
      <c r="S191" s="69"/>
      <c r="T191" s="69"/>
      <c r="U191" s="69" t="s">
        <v>1556</v>
      </c>
      <c r="V191" s="71" t="s">
        <v>1572</v>
      </c>
      <c r="W191" s="72"/>
    </row>
    <row r="192" spans="1:23" ht="38.25" x14ac:dyDescent="0.15">
      <c r="A192" s="166"/>
      <c r="B192" s="166"/>
      <c r="C192" s="171"/>
      <c r="D192" s="67" t="s">
        <v>1568</v>
      </c>
      <c r="E192" s="68" t="s">
        <v>1884</v>
      </c>
      <c r="F192" s="68" t="s">
        <v>121</v>
      </c>
      <c r="G192" s="69" t="s">
        <v>1552</v>
      </c>
      <c r="H192" s="69" t="s">
        <v>196</v>
      </c>
      <c r="I192" s="73" t="s">
        <v>1467</v>
      </c>
      <c r="J192" s="73" t="s">
        <v>986</v>
      </c>
      <c r="K192" s="69" t="s">
        <v>1500</v>
      </c>
      <c r="L192" s="69" t="s">
        <v>986</v>
      </c>
      <c r="M192" s="69" t="s">
        <v>819</v>
      </c>
      <c r="N192" s="69" t="s">
        <v>986</v>
      </c>
      <c r="O192" s="69" t="s">
        <v>863</v>
      </c>
      <c r="P192" s="69" t="s">
        <v>121</v>
      </c>
      <c r="Q192" s="69" t="s">
        <v>34</v>
      </c>
      <c r="R192" s="69" t="s">
        <v>524</v>
      </c>
      <c r="S192" s="69"/>
      <c r="T192" s="69"/>
      <c r="U192" s="69" t="s">
        <v>1556</v>
      </c>
      <c r="V192" s="71" t="s">
        <v>1572</v>
      </c>
      <c r="W192" s="72"/>
    </row>
    <row r="193" spans="1:23" ht="38.25" x14ac:dyDescent="0.15">
      <c r="A193" s="166"/>
      <c r="B193" s="166"/>
      <c r="C193" s="171"/>
      <c r="D193" s="67" t="s">
        <v>1568</v>
      </c>
      <c r="E193" s="68" t="s">
        <v>2596</v>
      </c>
      <c r="F193" s="68" t="s">
        <v>115</v>
      </c>
      <c r="G193" s="69" t="s">
        <v>1552</v>
      </c>
      <c r="H193" s="69" t="s">
        <v>196</v>
      </c>
      <c r="I193" s="73" t="s">
        <v>1467</v>
      </c>
      <c r="J193" s="73" t="s">
        <v>986</v>
      </c>
      <c r="K193" s="69" t="s">
        <v>1500</v>
      </c>
      <c r="L193" s="69" t="s">
        <v>986</v>
      </c>
      <c r="M193" s="69" t="s">
        <v>819</v>
      </c>
      <c r="N193" s="69" t="s">
        <v>986</v>
      </c>
      <c r="O193" s="69" t="s">
        <v>863</v>
      </c>
      <c r="P193" s="69" t="s">
        <v>115</v>
      </c>
      <c r="Q193" s="69" t="s">
        <v>34</v>
      </c>
      <c r="R193" s="69" t="s">
        <v>524</v>
      </c>
      <c r="S193" s="69"/>
      <c r="T193" s="69"/>
      <c r="U193" s="69" t="s">
        <v>1556</v>
      </c>
      <c r="V193" s="71" t="s">
        <v>1572</v>
      </c>
      <c r="W193" s="72"/>
    </row>
    <row r="194" spans="1:23" ht="38.25" x14ac:dyDescent="0.15">
      <c r="A194" s="166"/>
      <c r="B194" s="166"/>
      <c r="C194" s="171"/>
      <c r="D194" s="67" t="s">
        <v>1568</v>
      </c>
      <c r="E194" s="68" t="s">
        <v>2012</v>
      </c>
      <c r="F194" s="68" t="s">
        <v>104</v>
      </c>
      <c r="G194" s="69" t="s">
        <v>1552</v>
      </c>
      <c r="H194" s="69" t="s">
        <v>196</v>
      </c>
      <c r="I194" s="73" t="s">
        <v>1467</v>
      </c>
      <c r="J194" s="73" t="s">
        <v>986</v>
      </c>
      <c r="K194" s="69" t="s">
        <v>1500</v>
      </c>
      <c r="L194" s="69" t="s">
        <v>986</v>
      </c>
      <c r="M194" s="69" t="s">
        <v>819</v>
      </c>
      <c r="N194" s="69" t="s">
        <v>986</v>
      </c>
      <c r="O194" s="69" t="s">
        <v>863</v>
      </c>
      <c r="P194" s="69" t="s">
        <v>104</v>
      </c>
      <c r="Q194" s="69" t="s">
        <v>34</v>
      </c>
      <c r="R194" s="69" t="s">
        <v>524</v>
      </c>
      <c r="S194" s="69"/>
      <c r="T194" s="69"/>
      <c r="U194" s="69" t="s">
        <v>1556</v>
      </c>
      <c r="V194" s="71" t="s">
        <v>1572</v>
      </c>
      <c r="W194" s="72"/>
    </row>
    <row r="195" spans="1:23" x14ac:dyDescent="0.15">
      <c r="A195" s="166"/>
      <c r="B195" s="166"/>
      <c r="C195" s="171"/>
      <c r="D195" s="67" t="s">
        <v>939</v>
      </c>
      <c r="E195" s="68" t="s">
        <v>2071</v>
      </c>
      <c r="F195" s="68" t="s">
        <v>793</v>
      </c>
      <c r="G195" s="69" t="s">
        <v>840</v>
      </c>
      <c r="H195" s="69" t="s">
        <v>2232</v>
      </c>
      <c r="I195" s="73" t="s">
        <v>1467</v>
      </c>
      <c r="J195" s="73" t="s">
        <v>986</v>
      </c>
      <c r="K195" s="69" t="s">
        <v>1500</v>
      </c>
      <c r="L195" s="69" t="s">
        <v>986</v>
      </c>
      <c r="M195" s="69" t="s">
        <v>819</v>
      </c>
      <c r="N195" s="69" t="s">
        <v>986</v>
      </c>
      <c r="O195" s="69" t="s">
        <v>1524</v>
      </c>
      <c r="P195" s="69" t="s">
        <v>793</v>
      </c>
      <c r="Q195" s="69" t="s">
        <v>854</v>
      </c>
      <c r="R195" s="69" t="s">
        <v>1290</v>
      </c>
      <c r="S195" s="69"/>
      <c r="T195" s="69"/>
      <c r="U195" s="69" t="s">
        <v>1556</v>
      </c>
      <c r="V195" s="71" t="s">
        <v>1572</v>
      </c>
      <c r="W195" s="72"/>
    </row>
    <row r="196" spans="1:23" x14ac:dyDescent="0.15">
      <c r="A196" s="166"/>
      <c r="B196" s="166"/>
      <c r="C196" s="171"/>
      <c r="D196" s="67" t="s">
        <v>939</v>
      </c>
      <c r="E196" s="68" t="s">
        <v>1974</v>
      </c>
      <c r="F196" s="68" t="s">
        <v>881</v>
      </c>
      <c r="G196" s="69" t="s">
        <v>840</v>
      </c>
      <c r="H196" s="69" t="s">
        <v>2232</v>
      </c>
      <c r="I196" s="73" t="s">
        <v>1467</v>
      </c>
      <c r="J196" s="73" t="s">
        <v>986</v>
      </c>
      <c r="K196" s="69" t="s">
        <v>1500</v>
      </c>
      <c r="L196" s="69" t="s">
        <v>986</v>
      </c>
      <c r="M196" s="69" t="s">
        <v>819</v>
      </c>
      <c r="N196" s="69" t="s">
        <v>986</v>
      </c>
      <c r="O196" s="69" t="s">
        <v>1524</v>
      </c>
      <c r="P196" s="69" t="s">
        <v>881</v>
      </c>
      <c r="Q196" s="69" t="s">
        <v>854</v>
      </c>
      <c r="R196" s="69" t="s">
        <v>1290</v>
      </c>
      <c r="S196" s="69"/>
      <c r="T196" s="69"/>
      <c r="U196" s="69" t="s">
        <v>1556</v>
      </c>
      <c r="V196" s="71" t="s">
        <v>1572</v>
      </c>
      <c r="W196" s="72"/>
    </row>
    <row r="197" spans="1:23" x14ac:dyDescent="0.15">
      <c r="A197" s="166"/>
      <c r="B197" s="166"/>
      <c r="C197" s="171"/>
      <c r="D197" s="67" t="s">
        <v>939</v>
      </c>
      <c r="E197" s="68" t="s">
        <v>1867</v>
      </c>
      <c r="F197" s="68" t="s">
        <v>597</v>
      </c>
      <c r="G197" s="69" t="s">
        <v>840</v>
      </c>
      <c r="H197" s="69" t="s">
        <v>2232</v>
      </c>
      <c r="I197" s="73" t="s">
        <v>1467</v>
      </c>
      <c r="J197" s="73" t="s">
        <v>986</v>
      </c>
      <c r="K197" s="69" t="s">
        <v>1500</v>
      </c>
      <c r="L197" s="69" t="s">
        <v>986</v>
      </c>
      <c r="M197" s="69" t="s">
        <v>819</v>
      </c>
      <c r="N197" s="69" t="s">
        <v>986</v>
      </c>
      <c r="O197" s="69" t="s">
        <v>1524</v>
      </c>
      <c r="P197" s="69" t="s">
        <v>597</v>
      </c>
      <c r="Q197" s="69" t="s">
        <v>854</v>
      </c>
      <c r="R197" s="69" t="s">
        <v>1290</v>
      </c>
      <c r="S197" s="69"/>
      <c r="T197" s="69"/>
      <c r="U197" s="69" t="s">
        <v>1556</v>
      </c>
      <c r="V197" s="71" t="s">
        <v>1572</v>
      </c>
      <c r="W197" s="72"/>
    </row>
    <row r="198" spans="1:23" x14ac:dyDescent="0.15">
      <c r="A198" s="166"/>
      <c r="B198" s="166"/>
      <c r="C198" s="171"/>
      <c r="D198" s="67" t="s">
        <v>939</v>
      </c>
      <c r="E198" s="68" t="s">
        <v>2593</v>
      </c>
      <c r="F198" s="68" t="s">
        <v>552</v>
      </c>
      <c r="G198" s="69" t="s">
        <v>840</v>
      </c>
      <c r="H198" s="69" t="s">
        <v>2232</v>
      </c>
      <c r="I198" s="73" t="s">
        <v>1467</v>
      </c>
      <c r="J198" s="73" t="s">
        <v>986</v>
      </c>
      <c r="K198" s="69" t="s">
        <v>1500</v>
      </c>
      <c r="L198" s="69" t="s">
        <v>986</v>
      </c>
      <c r="M198" s="69" t="s">
        <v>819</v>
      </c>
      <c r="N198" s="69" t="s">
        <v>986</v>
      </c>
      <c r="O198" s="69" t="s">
        <v>1524</v>
      </c>
      <c r="P198" s="69" t="s">
        <v>552</v>
      </c>
      <c r="Q198" s="69" t="s">
        <v>854</v>
      </c>
      <c r="R198" s="69" t="s">
        <v>1290</v>
      </c>
      <c r="S198" s="69"/>
      <c r="T198" s="69"/>
      <c r="U198" s="69" t="s">
        <v>1556</v>
      </c>
      <c r="V198" s="71" t="s">
        <v>1572</v>
      </c>
      <c r="W198" s="72"/>
    </row>
    <row r="199" spans="1:23" ht="25.5" x14ac:dyDescent="0.15">
      <c r="A199" s="166"/>
      <c r="B199" s="166"/>
      <c r="C199" s="171"/>
      <c r="D199" s="67" t="s">
        <v>939</v>
      </c>
      <c r="E199" s="68" t="s">
        <v>2073</v>
      </c>
      <c r="F199" s="68" t="s">
        <v>1485</v>
      </c>
      <c r="G199" s="69" t="s">
        <v>817</v>
      </c>
      <c r="H199" s="69" t="s">
        <v>1520</v>
      </c>
      <c r="I199" s="73" t="s">
        <v>1467</v>
      </c>
      <c r="J199" s="73" t="s">
        <v>986</v>
      </c>
      <c r="K199" s="69" t="s">
        <v>1500</v>
      </c>
      <c r="L199" s="69" t="s">
        <v>986</v>
      </c>
      <c r="M199" s="69" t="s">
        <v>819</v>
      </c>
      <c r="N199" s="69" t="s">
        <v>986</v>
      </c>
      <c r="O199" s="69" t="s">
        <v>1487</v>
      </c>
      <c r="P199" s="69" t="s">
        <v>1485</v>
      </c>
      <c r="Q199" s="69" t="s">
        <v>564</v>
      </c>
      <c r="R199" s="69" t="s">
        <v>1178</v>
      </c>
      <c r="S199" s="69"/>
      <c r="T199" s="69"/>
      <c r="U199" s="69" t="s">
        <v>1556</v>
      </c>
      <c r="V199" s="71" t="s">
        <v>1572</v>
      </c>
      <c r="W199" s="72"/>
    </row>
    <row r="200" spans="1:23" ht="25.5" x14ac:dyDescent="0.15">
      <c r="A200" s="166"/>
      <c r="B200" s="166"/>
      <c r="C200" s="171"/>
      <c r="D200" s="67" t="s">
        <v>939</v>
      </c>
      <c r="E200" s="68" t="s">
        <v>2254</v>
      </c>
      <c r="F200" s="68" t="s">
        <v>529</v>
      </c>
      <c r="G200" s="69" t="s">
        <v>817</v>
      </c>
      <c r="H200" s="69" t="s">
        <v>1520</v>
      </c>
      <c r="I200" s="73" t="s">
        <v>1467</v>
      </c>
      <c r="J200" s="73" t="s">
        <v>986</v>
      </c>
      <c r="K200" s="69" t="s">
        <v>1500</v>
      </c>
      <c r="L200" s="69" t="s">
        <v>986</v>
      </c>
      <c r="M200" s="69" t="s">
        <v>819</v>
      </c>
      <c r="N200" s="69" t="s">
        <v>986</v>
      </c>
      <c r="O200" s="69" t="s">
        <v>1487</v>
      </c>
      <c r="P200" s="69" t="s">
        <v>529</v>
      </c>
      <c r="Q200" s="69" t="s">
        <v>564</v>
      </c>
      <c r="R200" s="69" t="s">
        <v>1178</v>
      </c>
      <c r="S200" s="69"/>
      <c r="T200" s="69"/>
      <c r="U200" s="69" t="s">
        <v>1556</v>
      </c>
      <c r="V200" s="71" t="s">
        <v>1572</v>
      </c>
      <c r="W200" s="72"/>
    </row>
    <row r="201" spans="1:23" ht="25.5" x14ac:dyDescent="0.15">
      <c r="A201" s="166"/>
      <c r="B201" s="166"/>
      <c r="C201" s="171"/>
      <c r="D201" s="67" t="s">
        <v>939</v>
      </c>
      <c r="E201" s="68" t="s">
        <v>2260</v>
      </c>
      <c r="F201" s="68" t="s">
        <v>1510</v>
      </c>
      <c r="G201" s="69" t="s">
        <v>817</v>
      </c>
      <c r="H201" s="69" t="s">
        <v>1520</v>
      </c>
      <c r="I201" s="73" t="s">
        <v>1467</v>
      </c>
      <c r="J201" s="73" t="s">
        <v>986</v>
      </c>
      <c r="K201" s="69" t="s">
        <v>1500</v>
      </c>
      <c r="L201" s="69" t="s">
        <v>986</v>
      </c>
      <c r="M201" s="69" t="s">
        <v>819</v>
      </c>
      <c r="N201" s="69" t="s">
        <v>986</v>
      </c>
      <c r="O201" s="69" t="s">
        <v>1487</v>
      </c>
      <c r="P201" s="69" t="s">
        <v>1510</v>
      </c>
      <c r="Q201" s="69" t="s">
        <v>564</v>
      </c>
      <c r="R201" s="69" t="s">
        <v>1178</v>
      </c>
      <c r="S201" s="69"/>
      <c r="T201" s="69"/>
      <c r="U201" s="69" t="s">
        <v>1556</v>
      </c>
      <c r="V201" s="71" t="s">
        <v>1572</v>
      </c>
      <c r="W201" s="72"/>
    </row>
    <row r="202" spans="1:23" ht="25.5" x14ac:dyDescent="0.15">
      <c r="A202" s="166"/>
      <c r="B202" s="166"/>
      <c r="C202" s="171"/>
      <c r="D202" s="67" t="s">
        <v>939</v>
      </c>
      <c r="E202" s="68" t="s">
        <v>1889</v>
      </c>
      <c r="F202" s="68" t="s">
        <v>584</v>
      </c>
      <c r="G202" s="69" t="s">
        <v>817</v>
      </c>
      <c r="H202" s="69" t="s">
        <v>1520</v>
      </c>
      <c r="I202" s="73" t="s">
        <v>1467</v>
      </c>
      <c r="J202" s="73" t="s">
        <v>986</v>
      </c>
      <c r="K202" s="69" t="s">
        <v>1500</v>
      </c>
      <c r="L202" s="69" t="s">
        <v>986</v>
      </c>
      <c r="M202" s="69" t="s">
        <v>819</v>
      </c>
      <c r="N202" s="69" t="s">
        <v>986</v>
      </c>
      <c r="O202" s="69" t="s">
        <v>1487</v>
      </c>
      <c r="P202" s="69" t="s">
        <v>584</v>
      </c>
      <c r="Q202" s="69" t="s">
        <v>564</v>
      </c>
      <c r="R202" s="69" t="s">
        <v>1178</v>
      </c>
      <c r="S202" s="69"/>
      <c r="T202" s="69"/>
      <c r="U202" s="69" t="s">
        <v>1556</v>
      </c>
      <c r="V202" s="71" t="s">
        <v>1572</v>
      </c>
      <c r="W202" s="72"/>
    </row>
    <row r="203" spans="1:23" ht="38.25" x14ac:dyDescent="0.15">
      <c r="A203" s="166"/>
      <c r="B203" s="166"/>
      <c r="C203" s="171"/>
      <c r="D203" s="67" t="s">
        <v>939</v>
      </c>
      <c r="E203" s="68" t="s">
        <v>1893</v>
      </c>
      <c r="F203" s="68" t="s">
        <v>1356</v>
      </c>
      <c r="G203" s="69" t="s">
        <v>876</v>
      </c>
      <c r="H203" s="69" t="s">
        <v>1108</v>
      </c>
      <c r="I203" s="73" t="s">
        <v>1467</v>
      </c>
      <c r="J203" s="73" t="s">
        <v>986</v>
      </c>
      <c r="K203" s="69" t="s">
        <v>1500</v>
      </c>
      <c r="L203" s="69" t="s">
        <v>986</v>
      </c>
      <c r="M203" s="69" t="s">
        <v>819</v>
      </c>
      <c r="N203" s="69" t="s">
        <v>986</v>
      </c>
      <c r="O203" s="69" t="s">
        <v>1516</v>
      </c>
      <c r="P203" s="69" t="s">
        <v>1356</v>
      </c>
      <c r="Q203" s="69" t="s">
        <v>52</v>
      </c>
      <c r="R203" s="69" t="s">
        <v>525</v>
      </c>
      <c r="S203" s="69"/>
      <c r="T203" s="69"/>
      <c r="U203" s="69" t="s">
        <v>1556</v>
      </c>
      <c r="V203" s="71" t="s">
        <v>1572</v>
      </c>
      <c r="W203" s="72"/>
    </row>
    <row r="204" spans="1:23" ht="38.25" x14ac:dyDescent="0.15">
      <c r="A204" s="166"/>
      <c r="B204" s="166"/>
      <c r="C204" s="171"/>
      <c r="D204" s="67" t="s">
        <v>1568</v>
      </c>
      <c r="E204" s="68" t="s">
        <v>2251</v>
      </c>
      <c r="F204" s="68" t="s">
        <v>1346</v>
      </c>
      <c r="G204" s="69" t="s">
        <v>876</v>
      </c>
      <c r="H204" s="69" t="s">
        <v>1108</v>
      </c>
      <c r="I204" s="73" t="s">
        <v>1467</v>
      </c>
      <c r="J204" s="73" t="s">
        <v>986</v>
      </c>
      <c r="K204" s="69" t="s">
        <v>1500</v>
      </c>
      <c r="L204" s="69" t="s">
        <v>986</v>
      </c>
      <c r="M204" s="69" t="s">
        <v>819</v>
      </c>
      <c r="N204" s="69" t="s">
        <v>986</v>
      </c>
      <c r="O204" s="69" t="s">
        <v>1516</v>
      </c>
      <c r="P204" s="69" t="s">
        <v>1346</v>
      </c>
      <c r="Q204" s="69" t="s">
        <v>52</v>
      </c>
      <c r="R204" s="69" t="s">
        <v>525</v>
      </c>
      <c r="S204" s="69"/>
      <c r="T204" s="69"/>
      <c r="U204" s="69" t="s">
        <v>1556</v>
      </c>
      <c r="V204" s="71" t="s">
        <v>1572</v>
      </c>
      <c r="W204" s="72"/>
    </row>
    <row r="205" spans="1:23" ht="38.25" x14ac:dyDescent="0.15">
      <c r="A205" s="166"/>
      <c r="B205" s="166"/>
      <c r="C205" s="171"/>
      <c r="D205" s="67" t="s">
        <v>1568</v>
      </c>
      <c r="E205" s="68" t="s">
        <v>2257</v>
      </c>
      <c r="F205" s="68" t="s">
        <v>1341</v>
      </c>
      <c r="G205" s="69" t="s">
        <v>876</v>
      </c>
      <c r="H205" s="69" t="s">
        <v>1108</v>
      </c>
      <c r="I205" s="73" t="s">
        <v>1467</v>
      </c>
      <c r="J205" s="73" t="s">
        <v>986</v>
      </c>
      <c r="K205" s="69" t="s">
        <v>1500</v>
      </c>
      <c r="L205" s="69" t="s">
        <v>986</v>
      </c>
      <c r="M205" s="69" t="s">
        <v>819</v>
      </c>
      <c r="N205" s="69" t="s">
        <v>986</v>
      </c>
      <c r="O205" s="69" t="s">
        <v>1516</v>
      </c>
      <c r="P205" s="69" t="s">
        <v>1341</v>
      </c>
      <c r="Q205" s="69" t="s">
        <v>52</v>
      </c>
      <c r="R205" s="69" t="s">
        <v>525</v>
      </c>
      <c r="S205" s="69"/>
      <c r="T205" s="69"/>
      <c r="U205" s="69" t="s">
        <v>1556</v>
      </c>
      <c r="V205" s="71" t="s">
        <v>1572</v>
      </c>
      <c r="W205" s="72"/>
    </row>
    <row r="206" spans="1:23" ht="25.5" x14ac:dyDescent="0.15">
      <c r="A206" s="166"/>
      <c r="B206" s="166"/>
      <c r="C206" s="171"/>
      <c r="D206" s="67" t="s">
        <v>1568</v>
      </c>
      <c r="E206" s="68" t="s">
        <v>2313</v>
      </c>
      <c r="F206" s="68" t="s">
        <v>740</v>
      </c>
      <c r="G206" s="69" t="s">
        <v>669</v>
      </c>
      <c r="H206" s="69" t="s">
        <v>612</v>
      </c>
      <c r="I206" s="73" t="s">
        <v>1467</v>
      </c>
      <c r="J206" s="73" t="s">
        <v>986</v>
      </c>
      <c r="K206" s="69" t="s">
        <v>1500</v>
      </c>
      <c r="L206" s="69" t="s">
        <v>986</v>
      </c>
      <c r="M206" s="69" t="s">
        <v>819</v>
      </c>
      <c r="N206" s="69" t="s">
        <v>986</v>
      </c>
      <c r="O206" s="69" t="s">
        <v>877</v>
      </c>
      <c r="P206" s="69" t="s">
        <v>740</v>
      </c>
      <c r="Q206" s="69" t="s">
        <v>1481</v>
      </c>
      <c r="R206" s="69" t="s">
        <v>1049</v>
      </c>
      <c r="S206" s="69"/>
      <c r="T206" s="69"/>
      <c r="U206" s="69" t="s">
        <v>1556</v>
      </c>
      <c r="V206" s="71" t="s">
        <v>1572</v>
      </c>
      <c r="W206" s="72"/>
    </row>
    <row r="207" spans="1:23" ht="25.5" x14ac:dyDescent="0.15">
      <c r="A207" s="166"/>
      <c r="B207" s="166"/>
      <c r="C207" s="171"/>
      <c r="D207" s="67" t="s">
        <v>1568</v>
      </c>
      <c r="E207" s="68" t="s">
        <v>2241</v>
      </c>
      <c r="F207" s="68" t="s">
        <v>1304</v>
      </c>
      <c r="G207" s="69" t="s">
        <v>669</v>
      </c>
      <c r="H207" s="69" t="s">
        <v>612</v>
      </c>
      <c r="I207" s="73" t="s">
        <v>1467</v>
      </c>
      <c r="J207" s="73" t="s">
        <v>986</v>
      </c>
      <c r="K207" s="69" t="s">
        <v>1500</v>
      </c>
      <c r="L207" s="69" t="s">
        <v>986</v>
      </c>
      <c r="M207" s="69" t="s">
        <v>819</v>
      </c>
      <c r="N207" s="69" t="s">
        <v>986</v>
      </c>
      <c r="O207" s="69" t="s">
        <v>877</v>
      </c>
      <c r="P207" s="69" t="s">
        <v>1304</v>
      </c>
      <c r="Q207" s="69" t="s">
        <v>1481</v>
      </c>
      <c r="R207" s="69" t="s">
        <v>1049</v>
      </c>
      <c r="S207" s="69"/>
      <c r="T207" s="69"/>
      <c r="U207" s="69" t="s">
        <v>1556</v>
      </c>
      <c r="V207" s="71" t="s">
        <v>1572</v>
      </c>
      <c r="W207" s="72"/>
    </row>
    <row r="208" spans="1:23" ht="25.5" x14ac:dyDescent="0.15">
      <c r="A208" s="166"/>
      <c r="B208" s="166"/>
      <c r="C208" s="171"/>
      <c r="D208" s="67" t="s">
        <v>1568</v>
      </c>
      <c r="E208" s="68" t="s">
        <v>2049</v>
      </c>
      <c r="F208" s="68" t="s">
        <v>755</v>
      </c>
      <c r="G208" s="69" t="s">
        <v>669</v>
      </c>
      <c r="H208" s="69" t="s">
        <v>612</v>
      </c>
      <c r="I208" s="73" t="s">
        <v>1467</v>
      </c>
      <c r="J208" s="73" t="s">
        <v>986</v>
      </c>
      <c r="K208" s="69" t="s">
        <v>1500</v>
      </c>
      <c r="L208" s="69" t="s">
        <v>986</v>
      </c>
      <c r="M208" s="69" t="s">
        <v>819</v>
      </c>
      <c r="N208" s="69" t="s">
        <v>986</v>
      </c>
      <c r="O208" s="69" t="s">
        <v>877</v>
      </c>
      <c r="P208" s="69" t="s">
        <v>755</v>
      </c>
      <c r="Q208" s="69" t="s">
        <v>1481</v>
      </c>
      <c r="R208" s="69" t="s">
        <v>1049</v>
      </c>
      <c r="S208" s="69"/>
      <c r="T208" s="69"/>
      <c r="U208" s="69" t="s">
        <v>1556</v>
      </c>
      <c r="V208" s="71" t="s">
        <v>1572</v>
      </c>
      <c r="W208" s="72"/>
    </row>
    <row r="209" spans="1:23" ht="25.5" customHeight="1" x14ac:dyDescent="0.15">
      <c r="A209" s="166"/>
      <c r="B209" s="166"/>
      <c r="C209" s="171" t="s">
        <v>1039</v>
      </c>
      <c r="D209" s="67" t="s">
        <v>939</v>
      </c>
      <c r="E209" s="68" t="s">
        <v>1910</v>
      </c>
      <c r="F209" s="68" t="s">
        <v>1303</v>
      </c>
      <c r="G209" s="69" t="s">
        <v>673</v>
      </c>
      <c r="H209" s="69" t="s">
        <v>1272</v>
      </c>
      <c r="I209" s="73" t="s">
        <v>648</v>
      </c>
      <c r="J209" s="73" t="s">
        <v>922</v>
      </c>
      <c r="K209" s="69" t="s">
        <v>1446</v>
      </c>
      <c r="L209" s="69" t="s">
        <v>964</v>
      </c>
      <c r="M209" s="69" t="s">
        <v>821</v>
      </c>
      <c r="N209" s="69" t="s">
        <v>964</v>
      </c>
      <c r="O209" s="69" t="s">
        <v>836</v>
      </c>
      <c r="P209" s="69" t="s">
        <v>1303</v>
      </c>
      <c r="Q209" s="69" t="s">
        <v>858</v>
      </c>
      <c r="R209" s="69" t="s">
        <v>303</v>
      </c>
      <c r="S209" s="69"/>
      <c r="T209" s="69"/>
      <c r="U209" s="69" t="s">
        <v>1556</v>
      </c>
      <c r="V209" s="71" t="s">
        <v>1572</v>
      </c>
      <c r="W209" s="72"/>
    </row>
    <row r="210" spans="1:23" ht="25.5" x14ac:dyDescent="0.15">
      <c r="A210" s="166"/>
      <c r="B210" s="166"/>
      <c r="C210" s="171"/>
      <c r="D210" s="67" t="s">
        <v>939</v>
      </c>
      <c r="E210" s="68" t="s">
        <v>2267</v>
      </c>
      <c r="F210" s="68" t="s">
        <v>1241</v>
      </c>
      <c r="G210" s="69" t="s">
        <v>673</v>
      </c>
      <c r="H210" s="69" t="s">
        <v>1272</v>
      </c>
      <c r="I210" s="73" t="s">
        <v>648</v>
      </c>
      <c r="J210" s="73" t="s">
        <v>922</v>
      </c>
      <c r="K210" s="69" t="s">
        <v>1446</v>
      </c>
      <c r="L210" s="69" t="s">
        <v>964</v>
      </c>
      <c r="M210" s="69" t="s">
        <v>821</v>
      </c>
      <c r="N210" s="69" t="s">
        <v>964</v>
      </c>
      <c r="O210" s="69" t="s">
        <v>836</v>
      </c>
      <c r="P210" s="69" t="s">
        <v>1241</v>
      </c>
      <c r="Q210" s="69" t="s">
        <v>858</v>
      </c>
      <c r="R210" s="69" t="s">
        <v>303</v>
      </c>
      <c r="S210" s="69"/>
      <c r="T210" s="69"/>
      <c r="U210" s="69" t="s">
        <v>1556</v>
      </c>
      <c r="V210" s="71" t="s">
        <v>1572</v>
      </c>
      <c r="W210" s="72"/>
    </row>
    <row r="211" spans="1:23" ht="25.5" x14ac:dyDescent="0.15">
      <c r="A211" s="166"/>
      <c r="B211" s="166"/>
      <c r="C211" s="171"/>
      <c r="D211" s="67" t="s">
        <v>939</v>
      </c>
      <c r="E211" s="68" t="s">
        <v>1914</v>
      </c>
      <c r="F211" s="68" t="s">
        <v>751</v>
      </c>
      <c r="G211" s="69" t="s">
        <v>673</v>
      </c>
      <c r="H211" s="69" t="s">
        <v>1272</v>
      </c>
      <c r="I211" s="73" t="s">
        <v>648</v>
      </c>
      <c r="J211" s="73" t="s">
        <v>922</v>
      </c>
      <c r="K211" s="69" t="s">
        <v>1446</v>
      </c>
      <c r="L211" s="69" t="s">
        <v>964</v>
      </c>
      <c r="M211" s="69" t="s">
        <v>821</v>
      </c>
      <c r="N211" s="69" t="s">
        <v>964</v>
      </c>
      <c r="O211" s="69" t="s">
        <v>836</v>
      </c>
      <c r="P211" s="69" t="s">
        <v>751</v>
      </c>
      <c r="Q211" s="69" t="s">
        <v>858</v>
      </c>
      <c r="R211" s="69" t="s">
        <v>303</v>
      </c>
      <c r="S211" s="69"/>
      <c r="T211" s="69"/>
      <c r="U211" s="69" t="s">
        <v>1556</v>
      </c>
      <c r="V211" s="71" t="s">
        <v>1572</v>
      </c>
      <c r="W211" s="72"/>
    </row>
    <row r="212" spans="1:23" ht="25.5" x14ac:dyDescent="0.15">
      <c r="A212" s="166"/>
      <c r="B212" s="166"/>
      <c r="C212" s="171"/>
      <c r="D212" s="67" t="s">
        <v>939</v>
      </c>
      <c r="E212" s="68" t="s">
        <v>1899</v>
      </c>
      <c r="F212" s="68" t="s">
        <v>1294</v>
      </c>
      <c r="G212" s="69" t="s">
        <v>673</v>
      </c>
      <c r="H212" s="69" t="s">
        <v>1272</v>
      </c>
      <c r="I212" s="73" t="s">
        <v>648</v>
      </c>
      <c r="J212" s="73" t="s">
        <v>922</v>
      </c>
      <c r="K212" s="69" t="s">
        <v>1446</v>
      </c>
      <c r="L212" s="69" t="s">
        <v>964</v>
      </c>
      <c r="M212" s="69" t="s">
        <v>821</v>
      </c>
      <c r="N212" s="69" t="s">
        <v>964</v>
      </c>
      <c r="O212" s="69" t="s">
        <v>836</v>
      </c>
      <c r="P212" s="69" t="s">
        <v>1294</v>
      </c>
      <c r="Q212" s="69" t="s">
        <v>858</v>
      </c>
      <c r="R212" s="69" t="s">
        <v>303</v>
      </c>
      <c r="S212" s="69"/>
      <c r="T212" s="69"/>
      <c r="U212" s="69" t="s">
        <v>1556</v>
      </c>
      <c r="V212" s="71" t="s">
        <v>1572</v>
      </c>
      <c r="W212" s="72"/>
    </row>
    <row r="213" spans="1:23" ht="25.5" x14ac:dyDescent="0.15">
      <c r="A213" s="166"/>
      <c r="B213" s="166"/>
      <c r="C213" s="171"/>
      <c r="D213" s="67" t="s">
        <v>1568</v>
      </c>
      <c r="E213" s="68" t="s">
        <v>2270</v>
      </c>
      <c r="F213" s="68" t="s">
        <v>1021</v>
      </c>
      <c r="G213" s="69" t="s">
        <v>673</v>
      </c>
      <c r="H213" s="69" t="s">
        <v>1272</v>
      </c>
      <c r="I213" s="73" t="s">
        <v>648</v>
      </c>
      <c r="J213" s="73" t="s">
        <v>922</v>
      </c>
      <c r="K213" s="69" t="s">
        <v>1446</v>
      </c>
      <c r="L213" s="69" t="s">
        <v>964</v>
      </c>
      <c r="M213" s="69" t="s">
        <v>821</v>
      </c>
      <c r="N213" s="69" t="s">
        <v>964</v>
      </c>
      <c r="O213" s="69" t="s">
        <v>836</v>
      </c>
      <c r="P213" s="69" t="s">
        <v>1021</v>
      </c>
      <c r="Q213" s="69" t="s">
        <v>858</v>
      </c>
      <c r="R213" s="69" t="s">
        <v>303</v>
      </c>
      <c r="S213" s="69"/>
      <c r="T213" s="69"/>
      <c r="U213" s="69" t="s">
        <v>1556</v>
      </c>
      <c r="V213" s="71" t="s">
        <v>1572</v>
      </c>
      <c r="W213" s="72"/>
    </row>
    <row r="214" spans="1:23" ht="25.5" customHeight="1" x14ac:dyDescent="0.15">
      <c r="A214" s="166"/>
      <c r="B214" s="166"/>
      <c r="C214" s="171" t="s">
        <v>321</v>
      </c>
      <c r="D214" s="67" t="s">
        <v>939</v>
      </c>
      <c r="E214" s="68" t="s">
        <v>2291</v>
      </c>
      <c r="F214" s="68" t="s">
        <v>197</v>
      </c>
      <c r="G214" s="69" t="s">
        <v>1507</v>
      </c>
      <c r="H214" s="69" t="s">
        <v>1038</v>
      </c>
      <c r="I214" s="73" t="s">
        <v>537</v>
      </c>
      <c r="J214" s="73" t="s">
        <v>2269</v>
      </c>
      <c r="K214" s="69" t="s">
        <v>628</v>
      </c>
      <c r="L214" s="69" t="s">
        <v>1006</v>
      </c>
      <c r="M214" s="69" t="s">
        <v>138</v>
      </c>
      <c r="N214" s="69" t="s">
        <v>1006</v>
      </c>
      <c r="O214" s="69" t="s">
        <v>614</v>
      </c>
      <c r="P214" s="69" t="s">
        <v>197</v>
      </c>
      <c r="Q214" s="69" t="s">
        <v>1511</v>
      </c>
      <c r="R214" s="69" t="s">
        <v>2716</v>
      </c>
      <c r="S214" s="69"/>
      <c r="T214" s="69"/>
      <c r="U214" s="69" t="s">
        <v>1556</v>
      </c>
      <c r="V214" s="71" t="s">
        <v>1555</v>
      </c>
      <c r="W214" s="74" t="s">
        <v>766</v>
      </c>
    </row>
    <row r="215" spans="1:23" ht="51" x14ac:dyDescent="0.15">
      <c r="A215" s="166"/>
      <c r="B215" s="166"/>
      <c r="C215" s="171"/>
      <c r="D215" s="67" t="s">
        <v>939</v>
      </c>
      <c r="E215" s="68" t="s">
        <v>2255</v>
      </c>
      <c r="F215" s="68" t="s">
        <v>273</v>
      </c>
      <c r="G215" s="69" t="s">
        <v>1507</v>
      </c>
      <c r="H215" s="69" t="s">
        <v>1038</v>
      </c>
      <c r="I215" s="73" t="s">
        <v>537</v>
      </c>
      <c r="J215" s="73" t="s">
        <v>2269</v>
      </c>
      <c r="K215" s="69" t="s">
        <v>628</v>
      </c>
      <c r="L215" s="69" t="s">
        <v>1006</v>
      </c>
      <c r="M215" s="69" t="s">
        <v>138</v>
      </c>
      <c r="N215" s="69" t="s">
        <v>1006</v>
      </c>
      <c r="O215" s="69" t="s">
        <v>614</v>
      </c>
      <c r="P215" s="69" t="s">
        <v>273</v>
      </c>
      <c r="Q215" s="69" t="s">
        <v>1511</v>
      </c>
      <c r="R215" s="69" t="s">
        <v>2716</v>
      </c>
      <c r="S215" s="69"/>
      <c r="T215" s="69"/>
      <c r="U215" s="69" t="s">
        <v>1556</v>
      </c>
      <c r="V215" s="71" t="s">
        <v>1555</v>
      </c>
      <c r="W215" s="74" t="s">
        <v>766</v>
      </c>
    </row>
    <row r="216" spans="1:23" ht="51" x14ac:dyDescent="0.15">
      <c r="A216" s="166"/>
      <c r="B216" s="166"/>
      <c r="C216" s="171"/>
      <c r="D216" s="67" t="s">
        <v>939</v>
      </c>
      <c r="E216" s="68" t="s">
        <v>2278</v>
      </c>
      <c r="F216" s="68" t="s">
        <v>302</v>
      </c>
      <c r="G216" s="69" t="s">
        <v>1507</v>
      </c>
      <c r="H216" s="69" t="s">
        <v>1038</v>
      </c>
      <c r="I216" s="73" t="s">
        <v>537</v>
      </c>
      <c r="J216" s="73" t="s">
        <v>2269</v>
      </c>
      <c r="K216" s="69" t="s">
        <v>628</v>
      </c>
      <c r="L216" s="69" t="s">
        <v>1006</v>
      </c>
      <c r="M216" s="69" t="s">
        <v>138</v>
      </c>
      <c r="N216" s="69" t="s">
        <v>1006</v>
      </c>
      <c r="O216" s="69" t="s">
        <v>614</v>
      </c>
      <c r="P216" s="69" t="s">
        <v>302</v>
      </c>
      <c r="Q216" s="69" t="s">
        <v>1511</v>
      </c>
      <c r="R216" s="69" t="s">
        <v>2716</v>
      </c>
      <c r="S216" s="69"/>
      <c r="T216" s="69"/>
      <c r="U216" s="69" t="s">
        <v>1556</v>
      </c>
      <c r="V216" s="71" t="s">
        <v>1555</v>
      </c>
      <c r="W216" s="74" t="s">
        <v>766</v>
      </c>
    </row>
    <row r="217" spans="1:23" ht="51" x14ac:dyDescent="0.15">
      <c r="A217" s="166"/>
      <c r="B217" s="166"/>
      <c r="C217" s="171"/>
      <c r="D217" s="67" t="s">
        <v>939</v>
      </c>
      <c r="E217" s="68" t="s">
        <v>2391</v>
      </c>
      <c r="F217" s="68" t="s">
        <v>156</v>
      </c>
      <c r="G217" s="69" t="s">
        <v>1507</v>
      </c>
      <c r="H217" s="69" t="s">
        <v>1038</v>
      </c>
      <c r="I217" s="73" t="s">
        <v>537</v>
      </c>
      <c r="J217" s="73" t="s">
        <v>2269</v>
      </c>
      <c r="K217" s="69" t="s">
        <v>628</v>
      </c>
      <c r="L217" s="69" t="s">
        <v>1006</v>
      </c>
      <c r="M217" s="69" t="s">
        <v>138</v>
      </c>
      <c r="N217" s="69" t="s">
        <v>1006</v>
      </c>
      <c r="O217" s="69" t="s">
        <v>614</v>
      </c>
      <c r="P217" s="69" t="s">
        <v>156</v>
      </c>
      <c r="Q217" s="69" t="s">
        <v>1511</v>
      </c>
      <c r="R217" s="69" t="s">
        <v>2716</v>
      </c>
      <c r="S217" s="69"/>
      <c r="T217" s="69"/>
      <c r="U217" s="69" t="s">
        <v>1556</v>
      </c>
      <c r="V217" s="71" t="s">
        <v>1555</v>
      </c>
      <c r="W217" s="74" t="s">
        <v>766</v>
      </c>
    </row>
    <row r="218" spans="1:23" ht="25.5" x14ac:dyDescent="0.15">
      <c r="A218" s="166"/>
      <c r="B218" s="166"/>
      <c r="C218" s="171"/>
      <c r="D218" s="67" t="s">
        <v>1568</v>
      </c>
      <c r="E218" s="68" t="s">
        <v>1722</v>
      </c>
      <c r="F218" s="68" t="s">
        <v>275</v>
      </c>
      <c r="G218" s="69" t="s">
        <v>1507</v>
      </c>
      <c r="H218" s="69" t="s">
        <v>1038</v>
      </c>
      <c r="I218" s="73" t="s">
        <v>537</v>
      </c>
      <c r="J218" s="73" t="s">
        <v>2269</v>
      </c>
      <c r="K218" s="69" t="s">
        <v>628</v>
      </c>
      <c r="L218" s="69" t="s">
        <v>1006</v>
      </c>
      <c r="M218" s="69" t="s">
        <v>138</v>
      </c>
      <c r="N218" s="69" t="s">
        <v>1006</v>
      </c>
      <c r="O218" s="69" t="s">
        <v>614</v>
      </c>
      <c r="P218" s="69" t="s">
        <v>275</v>
      </c>
      <c r="Q218" s="69" t="s">
        <v>1511</v>
      </c>
      <c r="R218" s="69" t="s">
        <v>2716</v>
      </c>
      <c r="S218" s="69"/>
      <c r="T218" s="69"/>
      <c r="U218" s="69" t="s">
        <v>1556</v>
      </c>
      <c r="V218" s="71"/>
      <c r="W218" s="72"/>
    </row>
    <row r="219" spans="1:23" ht="51" x14ac:dyDescent="0.15">
      <c r="A219" s="166"/>
      <c r="B219" s="166"/>
      <c r="C219" s="171"/>
      <c r="D219" s="67" t="s">
        <v>939</v>
      </c>
      <c r="E219" s="68" t="s">
        <v>2612</v>
      </c>
      <c r="F219" s="68" t="s">
        <v>145</v>
      </c>
      <c r="G219" s="69" t="s">
        <v>1479</v>
      </c>
      <c r="H219" s="69" t="s">
        <v>1117</v>
      </c>
      <c r="I219" s="73" t="s">
        <v>537</v>
      </c>
      <c r="J219" s="73" t="s">
        <v>2269</v>
      </c>
      <c r="K219" s="69" t="s">
        <v>628</v>
      </c>
      <c r="L219" s="69" t="s">
        <v>1006</v>
      </c>
      <c r="M219" s="69" t="s">
        <v>138</v>
      </c>
      <c r="N219" s="69" t="s">
        <v>1006</v>
      </c>
      <c r="O219" s="69" t="s">
        <v>51</v>
      </c>
      <c r="P219" s="69" t="s">
        <v>145</v>
      </c>
      <c r="Q219" s="69" t="s">
        <v>1551</v>
      </c>
      <c r="R219" s="69" t="s">
        <v>2652</v>
      </c>
      <c r="S219" s="69"/>
      <c r="T219" s="69"/>
      <c r="U219" s="69" t="s">
        <v>1556</v>
      </c>
      <c r="V219" s="71" t="s">
        <v>1555</v>
      </c>
      <c r="W219" s="74" t="s">
        <v>766</v>
      </c>
    </row>
    <row r="220" spans="1:23" ht="51" x14ac:dyDescent="0.15">
      <c r="A220" s="166"/>
      <c r="B220" s="166"/>
      <c r="C220" s="171"/>
      <c r="D220" s="67" t="s">
        <v>939</v>
      </c>
      <c r="E220" s="68" t="s">
        <v>1860</v>
      </c>
      <c r="F220" s="68" t="s">
        <v>326</v>
      </c>
      <c r="G220" s="69" t="s">
        <v>1479</v>
      </c>
      <c r="H220" s="69" t="s">
        <v>1117</v>
      </c>
      <c r="I220" s="73" t="s">
        <v>537</v>
      </c>
      <c r="J220" s="73" t="s">
        <v>2269</v>
      </c>
      <c r="K220" s="69" t="s">
        <v>628</v>
      </c>
      <c r="L220" s="69" t="s">
        <v>1006</v>
      </c>
      <c r="M220" s="69" t="s">
        <v>138</v>
      </c>
      <c r="N220" s="69" t="s">
        <v>1006</v>
      </c>
      <c r="O220" s="69" t="s">
        <v>51</v>
      </c>
      <c r="P220" s="69" t="s">
        <v>326</v>
      </c>
      <c r="Q220" s="69" t="s">
        <v>1551</v>
      </c>
      <c r="R220" s="69" t="s">
        <v>2652</v>
      </c>
      <c r="S220" s="69"/>
      <c r="T220" s="69"/>
      <c r="U220" s="69" t="s">
        <v>1556</v>
      </c>
      <c r="V220" s="71" t="s">
        <v>1555</v>
      </c>
      <c r="W220" s="74" t="s">
        <v>766</v>
      </c>
    </row>
    <row r="221" spans="1:23" ht="51" x14ac:dyDescent="0.15">
      <c r="A221" s="166"/>
      <c r="B221" s="166"/>
      <c r="C221" s="171"/>
      <c r="D221" s="67" t="s">
        <v>939</v>
      </c>
      <c r="E221" s="68" t="s">
        <v>2589</v>
      </c>
      <c r="F221" s="68" t="s">
        <v>165</v>
      </c>
      <c r="G221" s="69" t="s">
        <v>1479</v>
      </c>
      <c r="H221" s="69" t="s">
        <v>1117</v>
      </c>
      <c r="I221" s="73" t="s">
        <v>537</v>
      </c>
      <c r="J221" s="73" t="s">
        <v>2269</v>
      </c>
      <c r="K221" s="69" t="s">
        <v>628</v>
      </c>
      <c r="L221" s="69" t="s">
        <v>1006</v>
      </c>
      <c r="M221" s="69" t="s">
        <v>138</v>
      </c>
      <c r="N221" s="69" t="s">
        <v>1006</v>
      </c>
      <c r="O221" s="69" t="s">
        <v>51</v>
      </c>
      <c r="P221" s="69" t="s">
        <v>165</v>
      </c>
      <c r="Q221" s="69" t="s">
        <v>1551</v>
      </c>
      <c r="R221" s="69" t="s">
        <v>2652</v>
      </c>
      <c r="S221" s="69"/>
      <c r="T221" s="69"/>
      <c r="U221" s="69" t="s">
        <v>1556</v>
      </c>
      <c r="V221" s="71" t="s">
        <v>1555</v>
      </c>
      <c r="W221" s="74" t="s">
        <v>766</v>
      </c>
    </row>
    <row r="222" spans="1:23" ht="51" x14ac:dyDescent="0.15">
      <c r="A222" s="166"/>
      <c r="B222" s="166"/>
      <c r="C222" s="171"/>
      <c r="D222" s="67" t="s">
        <v>939</v>
      </c>
      <c r="E222" s="68" t="s">
        <v>2059</v>
      </c>
      <c r="F222" s="68" t="s">
        <v>205</v>
      </c>
      <c r="G222" s="69" t="s">
        <v>1479</v>
      </c>
      <c r="H222" s="69" t="s">
        <v>1117</v>
      </c>
      <c r="I222" s="73" t="s">
        <v>537</v>
      </c>
      <c r="J222" s="73" t="s">
        <v>2269</v>
      </c>
      <c r="K222" s="69" t="s">
        <v>628</v>
      </c>
      <c r="L222" s="69" t="s">
        <v>1006</v>
      </c>
      <c r="M222" s="69" t="s">
        <v>138</v>
      </c>
      <c r="N222" s="69" t="s">
        <v>1006</v>
      </c>
      <c r="O222" s="69" t="s">
        <v>51</v>
      </c>
      <c r="P222" s="69" t="s">
        <v>205</v>
      </c>
      <c r="Q222" s="69" t="s">
        <v>1551</v>
      </c>
      <c r="R222" s="69" t="s">
        <v>2652</v>
      </c>
      <c r="S222" s="69"/>
      <c r="T222" s="69"/>
      <c r="U222" s="69" t="s">
        <v>1556</v>
      </c>
      <c r="V222" s="71" t="s">
        <v>1555</v>
      </c>
      <c r="W222" s="74" t="s">
        <v>766</v>
      </c>
    </row>
    <row r="223" spans="1:23" ht="25.5" x14ac:dyDescent="0.15">
      <c r="A223" s="166"/>
      <c r="B223" s="167"/>
      <c r="C223" s="171"/>
      <c r="D223" s="67" t="s">
        <v>1568</v>
      </c>
      <c r="E223" s="68" t="s">
        <v>1888</v>
      </c>
      <c r="F223" s="68" t="s">
        <v>290</v>
      </c>
      <c r="G223" s="69" t="s">
        <v>1479</v>
      </c>
      <c r="H223" s="69" t="s">
        <v>1117</v>
      </c>
      <c r="I223" s="73" t="s">
        <v>537</v>
      </c>
      <c r="J223" s="73" t="s">
        <v>2269</v>
      </c>
      <c r="K223" s="69" t="s">
        <v>628</v>
      </c>
      <c r="L223" s="69" t="s">
        <v>1006</v>
      </c>
      <c r="M223" s="69" t="s">
        <v>138</v>
      </c>
      <c r="N223" s="69" t="s">
        <v>1006</v>
      </c>
      <c r="O223" s="69" t="s">
        <v>51</v>
      </c>
      <c r="P223" s="69" t="s">
        <v>290</v>
      </c>
      <c r="Q223" s="69" t="s">
        <v>1551</v>
      </c>
      <c r="R223" s="69" t="s">
        <v>2652</v>
      </c>
      <c r="S223" s="69"/>
      <c r="T223" s="69"/>
      <c r="U223" s="69" t="s">
        <v>1556</v>
      </c>
      <c r="V223" s="71" t="s">
        <v>1572</v>
      </c>
      <c r="W223" s="72"/>
    </row>
    <row r="224" spans="1:23" ht="25.5" customHeight="1" x14ac:dyDescent="0.15">
      <c r="A224" s="166"/>
      <c r="B224" s="165" t="s">
        <v>492</v>
      </c>
      <c r="C224" s="171" t="s">
        <v>731</v>
      </c>
      <c r="D224" s="67" t="s">
        <v>1568</v>
      </c>
      <c r="E224" s="68" t="s">
        <v>2294</v>
      </c>
      <c r="F224" s="68" t="s">
        <v>1230</v>
      </c>
      <c r="G224" s="69" t="s">
        <v>48</v>
      </c>
      <c r="H224" s="69" t="s">
        <v>1283</v>
      </c>
      <c r="I224" s="178" t="s">
        <v>915</v>
      </c>
      <c r="J224" s="179"/>
      <c r="K224" s="179"/>
      <c r="L224" s="180"/>
      <c r="M224" s="69"/>
      <c r="N224" s="69"/>
      <c r="O224" s="69" t="s">
        <v>1502</v>
      </c>
      <c r="P224" s="69" t="s">
        <v>1230</v>
      </c>
      <c r="Q224" s="69" t="s">
        <v>1498</v>
      </c>
      <c r="R224" s="69" t="s">
        <v>1230</v>
      </c>
      <c r="S224" s="69"/>
      <c r="T224" s="69"/>
      <c r="U224" s="69" t="s">
        <v>1591</v>
      </c>
      <c r="V224" s="71" t="s">
        <v>1572</v>
      </c>
      <c r="W224" s="72"/>
    </row>
    <row r="225" spans="1:23" ht="25.5" x14ac:dyDescent="0.15">
      <c r="A225" s="166"/>
      <c r="B225" s="166"/>
      <c r="C225" s="171"/>
      <c r="D225" s="67" t="s">
        <v>1568</v>
      </c>
      <c r="E225" s="68" t="s">
        <v>2224</v>
      </c>
      <c r="F225" s="68" t="s">
        <v>1105</v>
      </c>
      <c r="G225" s="69" t="s">
        <v>48</v>
      </c>
      <c r="H225" s="69" t="s">
        <v>1283</v>
      </c>
      <c r="I225" s="178" t="s">
        <v>915</v>
      </c>
      <c r="J225" s="179"/>
      <c r="K225" s="179"/>
      <c r="L225" s="180"/>
      <c r="M225" s="69"/>
      <c r="N225" s="69"/>
      <c r="O225" s="69" t="s">
        <v>44</v>
      </c>
      <c r="P225" s="69" t="s">
        <v>1105</v>
      </c>
      <c r="Q225" s="69" t="s">
        <v>135</v>
      </c>
      <c r="R225" s="69" t="s">
        <v>1105</v>
      </c>
      <c r="S225" s="69"/>
      <c r="T225" s="69"/>
      <c r="U225" s="69" t="s">
        <v>1591</v>
      </c>
      <c r="V225" s="71" t="s">
        <v>1572</v>
      </c>
      <c r="W225" s="72"/>
    </row>
    <row r="226" spans="1:23" ht="25.5" x14ac:dyDescent="0.15">
      <c r="A226" s="166"/>
      <c r="B226" s="166"/>
      <c r="C226" s="171"/>
      <c r="D226" s="67" t="s">
        <v>1568</v>
      </c>
      <c r="E226" s="68" t="s">
        <v>2279</v>
      </c>
      <c r="F226" s="68" t="s">
        <v>305</v>
      </c>
      <c r="G226" s="69" t="s">
        <v>48</v>
      </c>
      <c r="H226" s="69" t="s">
        <v>1283</v>
      </c>
      <c r="I226" s="178" t="s">
        <v>915</v>
      </c>
      <c r="J226" s="179"/>
      <c r="K226" s="179"/>
      <c r="L226" s="180"/>
      <c r="M226" s="69"/>
      <c r="N226" s="69"/>
      <c r="O226" s="69" t="s">
        <v>1414</v>
      </c>
      <c r="P226" s="69" t="s">
        <v>305</v>
      </c>
      <c r="Q226" s="69" t="s">
        <v>1477</v>
      </c>
      <c r="R226" s="69" t="s">
        <v>305</v>
      </c>
      <c r="S226" s="69"/>
      <c r="T226" s="69"/>
      <c r="U226" s="69" t="s">
        <v>1591</v>
      </c>
      <c r="V226" s="71" t="s">
        <v>1572</v>
      </c>
      <c r="W226" s="72"/>
    </row>
    <row r="227" spans="1:23" ht="25.5" x14ac:dyDescent="0.15">
      <c r="A227" s="166"/>
      <c r="B227" s="166"/>
      <c r="C227" s="171"/>
      <c r="D227" s="67" t="s">
        <v>1568</v>
      </c>
      <c r="E227" s="68" t="s">
        <v>2253</v>
      </c>
      <c r="F227" s="68" t="s">
        <v>236</v>
      </c>
      <c r="G227" s="69" t="s">
        <v>795</v>
      </c>
      <c r="H227" s="69" t="s">
        <v>1225</v>
      </c>
      <c r="I227" s="73" t="s">
        <v>641</v>
      </c>
      <c r="J227" s="73" t="s">
        <v>1048</v>
      </c>
      <c r="K227" s="69" t="s">
        <v>193</v>
      </c>
      <c r="L227" s="69" t="s">
        <v>908</v>
      </c>
      <c r="M227" s="69" t="s">
        <v>809</v>
      </c>
      <c r="N227" s="69" t="s">
        <v>941</v>
      </c>
      <c r="O227" s="69" t="s">
        <v>851</v>
      </c>
      <c r="P227" s="69" t="s">
        <v>236</v>
      </c>
      <c r="Q227" s="69" t="s">
        <v>859</v>
      </c>
      <c r="R227" s="69" t="s">
        <v>236</v>
      </c>
      <c r="S227" s="69"/>
      <c r="T227" s="69"/>
      <c r="U227" s="69" t="s">
        <v>1591</v>
      </c>
      <c r="V227" s="71" t="s">
        <v>1572</v>
      </c>
      <c r="W227" s="72"/>
    </row>
    <row r="228" spans="1:23" ht="25.5" x14ac:dyDescent="0.15">
      <c r="A228" s="166"/>
      <c r="B228" s="166"/>
      <c r="C228" s="171"/>
      <c r="D228" s="67" t="s">
        <v>939</v>
      </c>
      <c r="E228" s="68" t="s">
        <v>2268</v>
      </c>
      <c r="F228" s="68" t="s">
        <v>1222</v>
      </c>
      <c r="G228" s="69" t="s">
        <v>792</v>
      </c>
      <c r="H228" s="69" t="s">
        <v>1220</v>
      </c>
      <c r="I228" s="73" t="s">
        <v>816</v>
      </c>
      <c r="J228" s="73" t="s">
        <v>2076</v>
      </c>
      <c r="K228" s="69" t="s">
        <v>831</v>
      </c>
      <c r="L228" s="69" t="s">
        <v>1279</v>
      </c>
      <c r="M228" s="69" t="s">
        <v>809</v>
      </c>
      <c r="N228" s="69" t="s">
        <v>941</v>
      </c>
      <c r="O228" s="69" t="s">
        <v>38</v>
      </c>
      <c r="P228" s="69" t="s">
        <v>1222</v>
      </c>
      <c r="Q228" s="69" t="s">
        <v>1453</v>
      </c>
      <c r="R228" s="69" t="s">
        <v>1222</v>
      </c>
      <c r="S228" s="69"/>
      <c r="T228" s="69"/>
      <c r="U228" s="69" t="s">
        <v>1556</v>
      </c>
      <c r="V228" s="71" t="s">
        <v>1572</v>
      </c>
      <c r="W228" s="72"/>
    </row>
    <row r="229" spans="1:23" ht="25.5" x14ac:dyDescent="0.15">
      <c r="A229" s="166"/>
      <c r="B229" s="166"/>
      <c r="C229" s="171"/>
      <c r="D229" s="67" t="s">
        <v>939</v>
      </c>
      <c r="E229" s="68" t="s">
        <v>2248</v>
      </c>
      <c r="F229" s="68" t="s">
        <v>1288</v>
      </c>
      <c r="G229" s="69" t="s">
        <v>792</v>
      </c>
      <c r="H229" s="69" t="s">
        <v>1220</v>
      </c>
      <c r="I229" s="73" t="s">
        <v>816</v>
      </c>
      <c r="J229" s="73" t="s">
        <v>2076</v>
      </c>
      <c r="K229" s="69" t="s">
        <v>831</v>
      </c>
      <c r="L229" s="69" t="s">
        <v>1279</v>
      </c>
      <c r="M229" s="69" t="s">
        <v>809</v>
      </c>
      <c r="N229" s="69" t="s">
        <v>941</v>
      </c>
      <c r="O229" s="69" t="s">
        <v>38</v>
      </c>
      <c r="P229" s="69" t="s">
        <v>1288</v>
      </c>
      <c r="Q229" s="69" t="s">
        <v>1453</v>
      </c>
      <c r="R229" s="69" t="s">
        <v>1222</v>
      </c>
      <c r="S229" s="69"/>
      <c r="T229" s="69"/>
      <c r="U229" s="69" t="s">
        <v>1556</v>
      </c>
      <c r="V229" s="71" t="s">
        <v>1572</v>
      </c>
      <c r="W229" s="72"/>
    </row>
    <row r="230" spans="1:23" ht="25.5" x14ac:dyDescent="0.15">
      <c r="A230" s="166"/>
      <c r="B230" s="166"/>
      <c r="C230" s="171"/>
      <c r="D230" s="67" t="s">
        <v>939</v>
      </c>
      <c r="E230" s="68" t="s">
        <v>2061</v>
      </c>
      <c r="F230" s="68" t="s">
        <v>732</v>
      </c>
      <c r="G230" s="69" t="s">
        <v>792</v>
      </c>
      <c r="H230" s="69" t="s">
        <v>1220</v>
      </c>
      <c r="I230" s="73" t="s">
        <v>816</v>
      </c>
      <c r="J230" s="73" t="s">
        <v>2076</v>
      </c>
      <c r="K230" s="69" t="s">
        <v>831</v>
      </c>
      <c r="L230" s="69" t="s">
        <v>1279</v>
      </c>
      <c r="M230" s="69" t="s">
        <v>809</v>
      </c>
      <c r="N230" s="69" t="s">
        <v>941</v>
      </c>
      <c r="O230" s="69" t="s">
        <v>38</v>
      </c>
      <c r="P230" s="69" t="s">
        <v>732</v>
      </c>
      <c r="Q230" s="69" t="s">
        <v>1453</v>
      </c>
      <c r="R230" s="69" t="s">
        <v>1222</v>
      </c>
      <c r="S230" s="69"/>
      <c r="T230" s="69"/>
      <c r="U230" s="69" t="s">
        <v>1556</v>
      </c>
      <c r="V230" s="71" t="s">
        <v>1572</v>
      </c>
      <c r="W230" s="72"/>
    </row>
    <row r="231" spans="1:23" ht="25.5" x14ac:dyDescent="0.15">
      <c r="A231" s="166"/>
      <c r="B231" s="166"/>
      <c r="C231" s="171"/>
      <c r="D231" s="67" t="s">
        <v>939</v>
      </c>
      <c r="E231" s="68" t="s">
        <v>2399</v>
      </c>
      <c r="F231" s="68" t="s">
        <v>1322</v>
      </c>
      <c r="G231" s="69" t="s">
        <v>792</v>
      </c>
      <c r="H231" s="69" t="s">
        <v>1220</v>
      </c>
      <c r="I231" s="73" t="s">
        <v>816</v>
      </c>
      <c r="J231" s="73" t="s">
        <v>2076</v>
      </c>
      <c r="K231" s="69" t="s">
        <v>831</v>
      </c>
      <c r="L231" s="69" t="s">
        <v>1279</v>
      </c>
      <c r="M231" s="69" t="s">
        <v>809</v>
      </c>
      <c r="N231" s="69" t="s">
        <v>941</v>
      </c>
      <c r="O231" s="69" t="s">
        <v>38</v>
      </c>
      <c r="P231" s="69" t="s">
        <v>1322</v>
      </c>
      <c r="Q231" s="69" t="s">
        <v>1453</v>
      </c>
      <c r="R231" s="69" t="s">
        <v>1222</v>
      </c>
      <c r="S231" s="69"/>
      <c r="T231" s="69"/>
      <c r="U231" s="69" t="s">
        <v>1556</v>
      </c>
      <c r="V231" s="71" t="s">
        <v>1572</v>
      </c>
      <c r="W231" s="72"/>
    </row>
    <row r="232" spans="1:23" ht="25.5" x14ac:dyDescent="0.15">
      <c r="A232" s="166"/>
      <c r="B232" s="166"/>
      <c r="C232" s="171"/>
      <c r="D232" s="67" t="s">
        <v>939</v>
      </c>
      <c r="E232" s="68" t="s">
        <v>2094</v>
      </c>
      <c r="F232" s="68" t="s">
        <v>1312</v>
      </c>
      <c r="G232" s="69" t="s">
        <v>792</v>
      </c>
      <c r="H232" s="69" t="s">
        <v>1220</v>
      </c>
      <c r="I232" s="73" t="s">
        <v>816</v>
      </c>
      <c r="J232" s="73" t="s">
        <v>2076</v>
      </c>
      <c r="K232" s="69" t="s">
        <v>831</v>
      </c>
      <c r="L232" s="69" t="s">
        <v>1279</v>
      </c>
      <c r="M232" s="69" t="s">
        <v>809</v>
      </c>
      <c r="N232" s="69" t="s">
        <v>941</v>
      </c>
      <c r="O232" s="69" t="s">
        <v>38</v>
      </c>
      <c r="P232" s="69" t="s">
        <v>1312</v>
      </c>
      <c r="Q232" s="69" t="s">
        <v>1453</v>
      </c>
      <c r="R232" s="69" t="s">
        <v>1222</v>
      </c>
      <c r="S232" s="69"/>
      <c r="T232" s="69"/>
      <c r="U232" s="69" t="s">
        <v>1556</v>
      </c>
      <c r="V232" s="71" t="s">
        <v>1572</v>
      </c>
      <c r="W232" s="72"/>
    </row>
    <row r="233" spans="1:23" ht="25.5" x14ac:dyDescent="0.15">
      <c r="A233" s="166"/>
      <c r="B233" s="166"/>
      <c r="C233" s="171"/>
      <c r="D233" s="67" t="s">
        <v>939</v>
      </c>
      <c r="E233" s="68" t="s">
        <v>2362</v>
      </c>
      <c r="F233" s="68" t="s">
        <v>1226</v>
      </c>
      <c r="G233" s="69" t="s">
        <v>594</v>
      </c>
      <c r="H233" s="69" t="s">
        <v>1451</v>
      </c>
      <c r="I233" s="73" t="s">
        <v>816</v>
      </c>
      <c r="J233" s="73" t="s">
        <v>2076</v>
      </c>
      <c r="K233" s="69" t="s">
        <v>831</v>
      </c>
      <c r="L233" s="69" t="s">
        <v>1279</v>
      </c>
      <c r="M233" s="69" t="s">
        <v>809</v>
      </c>
      <c r="N233" s="69" t="s">
        <v>941</v>
      </c>
      <c r="O233" s="69" t="s">
        <v>656</v>
      </c>
      <c r="P233" s="69" t="s">
        <v>1226</v>
      </c>
      <c r="Q233" s="69" t="s">
        <v>818</v>
      </c>
      <c r="R233" s="69" t="s">
        <v>1226</v>
      </c>
      <c r="S233" s="69"/>
      <c r="T233" s="69"/>
      <c r="U233" s="69" t="s">
        <v>1556</v>
      </c>
      <c r="V233" s="71" t="s">
        <v>1572</v>
      </c>
      <c r="W233" s="72"/>
    </row>
    <row r="234" spans="1:23" ht="25.5" x14ac:dyDescent="0.15">
      <c r="A234" s="166"/>
      <c r="B234" s="166"/>
      <c r="C234" s="171"/>
      <c r="D234" s="67" t="s">
        <v>939</v>
      </c>
      <c r="E234" s="68" t="s">
        <v>2055</v>
      </c>
      <c r="F234" s="68" t="s">
        <v>1262</v>
      </c>
      <c r="G234" s="69" t="s">
        <v>594</v>
      </c>
      <c r="H234" s="69" t="s">
        <v>1451</v>
      </c>
      <c r="I234" s="73" t="s">
        <v>816</v>
      </c>
      <c r="J234" s="73" t="s">
        <v>2076</v>
      </c>
      <c r="K234" s="69" t="s">
        <v>831</v>
      </c>
      <c r="L234" s="69" t="s">
        <v>1279</v>
      </c>
      <c r="M234" s="69" t="s">
        <v>809</v>
      </c>
      <c r="N234" s="69" t="s">
        <v>941</v>
      </c>
      <c r="O234" s="69" t="s">
        <v>656</v>
      </c>
      <c r="P234" s="69" t="s">
        <v>1262</v>
      </c>
      <c r="Q234" s="69" t="s">
        <v>818</v>
      </c>
      <c r="R234" s="69" t="s">
        <v>1226</v>
      </c>
      <c r="S234" s="69"/>
      <c r="T234" s="69"/>
      <c r="U234" s="69" t="s">
        <v>1556</v>
      </c>
      <c r="V234" s="71" t="s">
        <v>1572</v>
      </c>
      <c r="W234" s="72"/>
    </row>
    <row r="235" spans="1:23" ht="25.5" x14ac:dyDescent="0.15">
      <c r="A235" s="166"/>
      <c r="B235" s="166"/>
      <c r="C235" s="171"/>
      <c r="D235" s="67" t="s">
        <v>939</v>
      </c>
      <c r="E235" s="68" t="s">
        <v>2259</v>
      </c>
      <c r="F235" s="68" t="s">
        <v>1324</v>
      </c>
      <c r="G235" s="69" t="s">
        <v>594</v>
      </c>
      <c r="H235" s="69" t="s">
        <v>1451</v>
      </c>
      <c r="I235" s="73" t="s">
        <v>816</v>
      </c>
      <c r="J235" s="73" t="s">
        <v>2076</v>
      </c>
      <c r="K235" s="69" t="s">
        <v>831</v>
      </c>
      <c r="L235" s="69" t="s">
        <v>1279</v>
      </c>
      <c r="M235" s="69" t="s">
        <v>809</v>
      </c>
      <c r="N235" s="69" t="s">
        <v>941</v>
      </c>
      <c r="O235" s="69" t="s">
        <v>656</v>
      </c>
      <c r="P235" s="69" t="s">
        <v>1324</v>
      </c>
      <c r="Q235" s="69" t="s">
        <v>818</v>
      </c>
      <c r="R235" s="69" t="s">
        <v>1226</v>
      </c>
      <c r="S235" s="69"/>
      <c r="T235" s="69"/>
      <c r="U235" s="69" t="s">
        <v>1556</v>
      </c>
      <c r="V235" s="71" t="s">
        <v>1572</v>
      </c>
      <c r="W235" s="72"/>
    </row>
    <row r="236" spans="1:23" ht="25.5" x14ac:dyDescent="0.15">
      <c r="A236" s="166"/>
      <c r="B236" s="166"/>
      <c r="C236" s="171"/>
      <c r="D236" s="67" t="s">
        <v>939</v>
      </c>
      <c r="E236" s="68" t="s">
        <v>2290</v>
      </c>
      <c r="F236" s="68" t="s">
        <v>749</v>
      </c>
      <c r="G236" s="69" t="s">
        <v>594</v>
      </c>
      <c r="H236" s="69" t="s">
        <v>1451</v>
      </c>
      <c r="I236" s="73" t="s">
        <v>816</v>
      </c>
      <c r="J236" s="73" t="s">
        <v>2076</v>
      </c>
      <c r="K236" s="69" t="s">
        <v>831</v>
      </c>
      <c r="L236" s="69" t="s">
        <v>1279</v>
      </c>
      <c r="M236" s="69" t="s">
        <v>809</v>
      </c>
      <c r="N236" s="69" t="s">
        <v>941</v>
      </c>
      <c r="O236" s="69" t="s">
        <v>656</v>
      </c>
      <c r="P236" s="69" t="s">
        <v>749</v>
      </c>
      <c r="Q236" s="69" t="s">
        <v>818</v>
      </c>
      <c r="R236" s="69" t="s">
        <v>1226</v>
      </c>
      <c r="S236" s="69"/>
      <c r="T236" s="69"/>
      <c r="U236" s="69" t="s">
        <v>1556</v>
      </c>
      <c r="V236" s="71" t="s">
        <v>1572</v>
      </c>
      <c r="W236" s="72"/>
    </row>
    <row r="237" spans="1:23" ht="25.5" x14ac:dyDescent="0.15">
      <c r="A237" s="166"/>
      <c r="B237" s="166"/>
      <c r="C237" s="171"/>
      <c r="D237" s="67" t="s">
        <v>939</v>
      </c>
      <c r="E237" s="68" t="s">
        <v>2250</v>
      </c>
      <c r="F237" s="68" t="s">
        <v>1271</v>
      </c>
      <c r="G237" s="69" t="s">
        <v>594</v>
      </c>
      <c r="H237" s="69" t="s">
        <v>1451</v>
      </c>
      <c r="I237" s="73" t="s">
        <v>816</v>
      </c>
      <c r="J237" s="73" t="s">
        <v>2076</v>
      </c>
      <c r="K237" s="69" t="s">
        <v>831</v>
      </c>
      <c r="L237" s="69" t="s">
        <v>1279</v>
      </c>
      <c r="M237" s="69" t="s">
        <v>809</v>
      </c>
      <c r="N237" s="69" t="s">
        <v>941</v>
      </c>
      <c r="O237" s="69" t="s">
        <v>656</v>
      </c>
      <c r="P237" s="69" t="s">
        <v>1271</v>
      </c>
      <c r="Q237" s="69" t="s">
        <v>818</v>
      </c>
      <c r="R237" s="69" t="s">
        <v>1226</v>
      </c>
      <c r="S237" s="69"/>
      <c r="T237" s="69"/>
      <c r="U237" s="69" t="s">
        <v>1556</v>
      </c>
      <c r="V237" s="71" t="s">
        <v>1572</v>
      </c>
      <c r="W237" s="72"/>
    </row>
    <row r="238" spans="1:23" ht="25.5" customHeight="1" x14ac:dyDescent="0.15">
      <c r="A238" s="166"/>
      <c r="B238" s="166"/>
      <c r="C238" s="171" t="s">
        <v>1095</v>
      </c>
      <c r="D238" s="67" t="s">
        <v>939</v>
      </c>
      <c r="E238" s="68" t="s">
        <v>2064</v>
      </c>
      <c r="F238" s="68" t="s">
        <v>1025</v>
      </c>
      <c r="G238" s="69" t="s">
        <v>1472</v>
      </c>
      <c r="H238" s="69" t="s">
        <v>802</v>
      </c>
      <c r="I238" s="73" t="s">
        <v>1518</v>
      </c>
      <c r="J238" s="73" t="s">
        <v>947</v>
      </c>
      <c r="K238" s="69" t="s">
        <v>1490</v>
      </c>
      <c r="L238" s="69" t="s">
        <v>2372</v>
      </c>
      <c r="M238" s="69" t="s">
        <v>1469</v>
      </c>
      <c r="N238" s="69" t="s">
        <v>2372</v>
      </c>
      <c r="O238" s="69" t="s">
        <v>542</v>
      </c>
      <c r="P238" s="69" t="s">
        <v>1025</v>
      </c>
      <c r="Q238" s="69" t="s">
        <v>1413</v>
      </c>
      <c r="R238" s="69" t="s">
        <v>1025</v>
      </c>
      <c r="S238" s="69"/>
      <c r="T238" s="69"/>
      <c r="U238" s="69" t="s">
        <v>1556</v>
      </c>
      <c r="V238" s="71" t="s">
        <v>1572</v>
      </c>
      <c r="W238" s="72"/>
    </row>
    <row r="239" spans="1:23" ht="25.5" x14ac:dyDescent="0.15">
      <c r="A239" s="166"/>
      <c r="B239" s="166"/>
      <c r="C239" s="171"/>
      <c r="D239" s="67" t="s">
        <v>939</v>
      </c>
      <c r="E239" s="68" t="s">
        <v>2413</v>
      </c>
      <c r="F239" s="68" t="s">
        <v>1098</v>
      </c>
      <c r="G239" s="69" t="s">
        <v>1472</v>
      </c>
      <c r="H239" s="69" t="s">
        <v>802</v>
      </c>
      <c r="I239" s="73" t="s">
        <v>1518</v>
      </c>
      <c r="J239" s="73" t="s">
        <v>947</v>
      </c>
      <c r="K239" s="69" t="s">
        <v>1490</v>
      </c>
      <c r="L239" s="69" t="s">
        <v>2372</v>
      </c>
      <c r="M239" s="69" t="s">
        <v>1469</v>
      </c>
      <c r="N239" s="69" t="s">
        <v>2372</v>
      </c>
      <c r="O239" s="69" t="s">
        <v>542</v>
      </c>
      <c r="P239" s="69" t="s">
        <v>1098</v>
      </c>
      <c r="Q239" s="69" t="s">
        <v>1413</v>
      </c>
      <c r="R239" s="69" t="s">
        <v>1025</v>
      </c>
      <c r="S239" s="69"/>
      <c r="T239" s="69"/>
      <c r="U239" s="69" t="s">
        <v>1556</v>
      </c>
      <c r="V239" s="71" t="s">
        <v>1572</v>
      </c>
      <c r="W239" s="72"/>
    </row>
    <row r="240" spans="1:23" ht="25.5" x14ac:dyDescent="0.15">
      <c r="A240" s="166"/>
      <c r="B240" s="166"/>
      <c r="C240" s="171"/>
      <c r="D240" s="67" t="s">
        <v>939</v>
      </c>
      <c r="E240" s="68" t="s">
        <v>2264</v>
      </c>
      <c r="F240" s="68" t="s">
        <v>1052</v>
      </c>
      <c r="G240" s="69" t="s">
        <v>1472</v>
      </c>
      <c r="H240" s="69" t="s">
        <v>802</v>
      </c>
      <c r="I240" s="73" t="s">
        <v>1518</v>
      </c>
      <c r="J240" s="73" t="s">
        <v>947</v>
      </c>
      <c r="K240" s="69" t="s">
        <v>1490</v>
      </c>
      <c r="L240" s="69" t="s">
        <v>2372</v>
      </c>
      <c r="M240" s="69" t="s">
        <v>1469</v>
      </c>
      <c r="N240" s="69" t="s">
        <v>2372</v>
      </c>
      <c r="O240" s="69" t="s">
        <v>542</v>
      </c>
      <c r="P240" s="69" t="s">
        <v>1052</v>
      </c>
      <c r="Q240" s="69" t="s">
        <v>1413</v>
      </c>
      <c r="R240" s="69" t="s">
        <v>1025</v>
      </c>
      <c r="S240" s="69"/>
      <c r="T240" s="69"/>
      <c r="U240" s="69" t="s">
        <v>1556</v>
      </c>
      <c r="V240" s="71" t="s">
        <v>1572</v>
      </c>
      <c r="W240" s="72"/>
    </row>
    <row r="241" spans="1:23" ht="25.5" x14ac:dyDescent="0.15">
      <c r="A241" s="166"/>
      <c r="B241" s="166"/>
      <c r="C241" s="171"/>
      <c r="D241" s="67" t="s">
        <v>939</v>
      </c>
      <c r="E241" s="68" t="s">
        <v>2030</v>
      </c>
      <c r="F241" s="68" t="s">
        <v>1029</v>
      </c>
      <c r="G241" s="69" t="s">
        <v>1472</v>
      </c>
      <c r="H241" s="69" t="s">
        <v>802</v>
      </c>
      <c r="I241" s="73" t="s">
        <v>1518</v>
      </c>
      <c r="J241" s="73" t="s">
        <v>947</v>
      </c>
      <c r="K241" s="69" t="s">
        <v>1490</v>
      </c>
      <c r="L241" s="69" t="s">
        <v>2372</v>
      </c>
      <c r="M241" s="69" t="s">
        <v>1469</v>
      </c>
      <c r="N241" s="69" t="s">
        <v>2372</v>
      </c>
      <c r="O241" s="69" t="s">
        <v>542</v>
      </c>
      <c r="P241" s="69" t="s">
        <v>1029</v>
      </c>
      <c r="Q241" s="69" t="s">
        <v>1413</v>
      </c>
      <c r="R241" s="69" t="s">
        <v>1025</v>
      </c>
      <c r="S241" s="69"/>
      <c r="T241" s="69"/>
      <c r="U241" s="69" t="s">
        <v>1556</v>
      </c>
      <c r="V241" s="71" t="s">
        <v>1572</v>
      </c>
      <c r="W241" s="72"/>
    </row>
    <row r="242" spans="1:23" ht="25.5" x14ac:dyDescent="0.15">
      <c r="A242" s="166"/>
      <c r="B242" s="166"/>
      <c r="C242" s="171"/>
      <c r="D242" s="67" t="s">
        <v>1568</v>
      </c>
      <c r="E242" s="68" t="s">
        <v>2376</v>
      </c>
      <c r="F242" s="68" t="s">
        <v>268</v>
      </c>
      <c r="G242" s="69" t="s">
        <v>1472</v>
      </c>
      <c r="H242" s="69" t="s">
        <v>802</v>
      </c>
      <c r="I242" s="73" t="s">
        <v>1518</v>
      </c>
      <c r="J242" s="73" t="s">
        <v>947</v>
      </c>
      <c r="K242" s="69" t="s">
        <v>1490</v>
      </c>
      <c r="L242" s="69" t="s">
        <v>2372</v>
      </c>
      <c r="M242" s="69" t="s">
        <v>1469</v>
      </c>
      <c r="N242" s="69" t="s">
        <v>2372</v>
      </c>
      <c r="O242" s="69" t="s">
        <v>542</v>
      </c>
      <c r="P242" s="69" t="s">
        <v>268</v>
      </c>
      <c r="Q242" s="69" t="s">
        <v>1413</v>
      </c>
      <c r="R242" s="69" t="s">
        <v>1025</v>
      </c>
      <c r="S242" s="69"/>
      <c r="T242" s="69"/>
      <c r="U242" s="69" t="s">
        <v>1556</v>
      </c>
      <c r="V242" s="71" t="s">
        <v>1572</v>
      </c>
      <c r="W242" s="72"/>
    </row>
    <row r="243" spans="1:23" ht="25.5" x14ac:dyDescent="0.15">
      <c r="A243" s="166"/>
      <c r="B243" s="166"/>
      <c r="C243" s="171"/>
      <c r="D243" s="67" t="s">
        <v>1568</v>
      </c>
      <c r="E243" s="68" t="s">
        <v>1765</v>
      </c>
      <c r="F243" s="68" t="s">
        <v>170</v>
      </c>
      <c r="G243" s="69" t="s">
        <v>561</v>
      </c>
      <c r="H243" s="69" t="s">
        <v>1114</v>
      </c>
      <c r="I243" s="73" t="s">
        <v>1518</v>
      </c>
      <c r="J243" s="73" t="s">
        <v>947</v>
      </c>
      <c r="K243" s="69" t="s">
        <v>1490</v>
      </c>
      <c r="L243" s="69" t="s">
        <v>2372</v>
      </c>
      <c r="M243" s="69" t="s">
        <v>1469</v>
      </c>
      <c r="N243" s="69" t="s">
        <v>2372</v>
      </c>
      <c r="O243" s="69" t="s">
        <v>134</v>
      </c>
      <c r="P243" s="69" t="s">
        <v>170</v>
      </c>
      <c r="Q243" s="69" t="s">
        <v>625</v>
      </c>
      <c r="R243" s="69" t="s">
        <v>170</v>
      </c>
      <c r="S243" s="69"/>
      <c r="T243" s="69"/>
      <c r="U243" s="69" t="s">
        <v>1556</v>
      </c>
      <c r="V243" s="71" t="s">
        <v>1572</v>
      </c>
      <c r="W243" s="72"/>
    </row>
    <row r="244" spans="1:23" ht="38.25" x14ac:dyDescent="0.15">
      <c r="A244" s="166"/>
      <c r="B244" s="166"/>
      <c r="C244" s="171"/>
      <c r="D244" s="67" t="s">
        <v>1568</v>
      </c>
      <c r="E244" s="68" t="s">
        <v>1857</v>
      </c>
      <c r="F244" s="68" t="s">
        <v>2685</v>
      </c>
      <c r="G244" s="69" t="s">
        <v>561</v>
      </c>
      <c r="H244" s="69" t="s">
        <v>1114</v>
      </c>
      <c r="I244" s="73" t="s">
        <v>1518</v>
      </c>
      <c r="J244" s="73" t="s">
        <v>947</v>
      </c>
      <c r="K244" s="69" t="s">
        <v>1490</v>
      </c>
      <c r="L244" s="69" t="s">
        <v>2372</v>
      </c>
      <c r="M244" s="69" t="s">
        <v>1469</v>
      </c>
      <c r="N244" s="69" t="s">
        <v>2372</v>
      </c>
      <c r="O244" s="69" t="s">
        <v>134</v>
      </c>
      <c r="P244" s="69" t="s">
        <v>2685</v>
      </c>
      <c r="Q244" s="69" t="s">
        <v>625</v>
      </c>
      <c r="R244" s="69" t="s">
        <v>170</v>
      </c>
      <c r="S244" s="69"/>
      <c r="T244" s="69"/>
      <c r="U244" s="69" t="s">
        <v>1556</v>
      </c>
      <c r="V244" s="71" t="s">
        <v>1572</v>
      </c>
      <c r="W244" s="72"/>
    </row>
    <row r="245" spans="1:23" ht="25.5" x14ac:dyDescent="0.15">
      <c r="A245" s="166"/>
      <c r="B245" s="166"/>
      <c r="C245" s="171"/>
      <c r="D245" s="67" t="s">
        <v>1568</v>
      </c>
      <c r="E245" s="68" t="s">
        <v>2389</v>
      </c>
      <c r="F245" s="68" t="s">
        <v>2637</v>
      </c>
      <c r="G245" s="69" t="s">
        <v>561</v>
      </c>
      <c r="H245" s="69" t="s">
        <v>1114</v>
      </c>
      <c r="I245" s="73" t="s">
        <v>1518</v>
      </c>
      <c r="J245" s="73" t="s">
        <v>947</v>
      </c>
      <c r="K245" s="69" t="s">
        <v>1490</v>
      </c>
      <c r="L245" s="69" t="s">
        <v>2372</v>
      </c>
      <c r="M245" s="69" t="s">
        <v>1469</v>
      </c>
      <c r="N245" s="69" t="s">
        <v>2372</v>
      </c>
      <c r="O245" s="69" t="s">
        <v>134</v>
      </c>
      <c r="P245" s="69" t="s">
        <v>2637</v>
      </c>
      <c r="Q245" s="69" t="s">
        <v>625</v>
      </c>
      <c r="R245" s="69" t="s">
        <v>170</v>
      </c>
      <c r="S245" s="69"/>
      <c r="T245" s="69"/>
      <c r="U245" s="69" t="s">
        <v>1556</v>
      </c>
      <c r="V245" s="71" t="s">
        <v>1572</v>
      </c>
      <c r="W245" s="72"/>
    </row>
    <row r="246" spans="1:23" ht="25.5" x14ac:dyDescent="0.15">
      <c r="A246" s="166"/>
      <c r="B246" s="166"/>
      <c r="C246" s="171"/>
      <c r="D246" s="67" t="s">
        <v>1568</v>
      </c>
      <c r="E246" s="68" t="s">
        <v>2077</v>
      </c>
      <c r="F246" s="68" t="s">
        <v>2664</v>
      </c>
      <c r="G246" s="69" t="s">
        <v>561</v>
      </c>
      <c r="H246" s="69" t="s">
        <v>1114</v>
      </c>
      <c r="I246" s="73" t="s">
        <v>1518</v>
      </c>
      <c r="J246" s="73" t="s">
        <v>947</v>
      </c>
      <c r="K246" s="69" t="s">
        <v>1490</v>
      </c>
      <c r="L246" s="69" t="s">
        <v>2372</v>
      </c>
      <c r="M246" s="69" t="s">
        <v>1469</v>
      </c>
      <c r="N246" s="69" t="s">
        <v>2372</v>
      </c>
      <c r="O246" s="69" t="s">
        <v>134</v>
      </c>
      <c r="P246" s="69" t="s">
        <v>2664</v>
      </c>
      <c r="Q246" s="69" t="s">
        <v>625</v>
      </c>
      <c r="R246" s="69" t="s">
        <v>170</v>
      </c>
      <c r="S246" s="69"/>
      <c r="T246" s="69"/>
      <c r="U246" s="69" t="s">
        <v>1556</v>
      </c>
      <c r="V246" s="71" t="s">
        <v>1572</v>
      </c>
      <c r="W246" s="72"/>
    </row>
    <row r="247" spans="1:23" ht="25.5" x14ac:dyDescent="0.15">
      <c r="A247" s="166"/>
      <c r="B247" s="166"/>
      <c r="C247" s="171"/>
      <c r="D247" s="67" t="s">
        <v>1568</v>
      </c>
      <c r="E247" s="68" t="s">
        <v>2442</v>
      </c>
      <c r="F247" s="68" t="s">
        <v>2631</v>
      </c>
      <c r="G247" s="69" t="s">
        <v>561</v>
      </c>
      <c r="H247" s="69" t="s">
        <v>1114</v>
      </c>
      <c r="I247" s="73" t="s">
        <v>1518</v>
      </c>
      <c r="J247" s="73" t="s">
        <v>947</v>
      </c>
      <c r="K247" s="69" t="s">
        <v>1490</v>
      </c>
      <c r="L247" s="69" t="s">
        <v>2372</v>
      </c>
      <c r="M247" s="69" t="s">
        <v>1469</v>
      </c>
      <c r="N247" s="69" t="s">
        <v>2372</v>
      </c>
      <c r="O247" s="69" t="s">
        <v>134</v>
      </c>
      <c r="P247" s="69" t="s">
        <v>2631</v>
      </c>
      <c r="Q247" s="69" t="s">
        <v>625</v>
      </c>
      <c r="R247" s="69" t="s">
        <v>170</v>
      </c>
      <c r="S247" s="69"/>
      <c r="T247" s="69"/>
      <c r="U247" s="69" t="s">
        <v>1556</v>
      </c>
      <c r="V247" s="71" t="s">
        <v>1572</v>
      </c>
      <c r="W247" s="72"/>
    </row>
    <row r="248" spans="1:23" ht="38.25" x14ac:dyDescent="0.15">
      <c r="A248" s="166"/>
      <c r="B248" s="166"/>
      <c r="C248" s="171"/>
      <c r="D248" s="67" t="s">
        <v>1568</v>
      </c>
      <c r="E248" s="68" t="s">
        <v>2063</v>
      </c>
      <c r="F248" s="68" t="s">
        <v>2686</v>
      </c>
      <c r="G248" s="69" t="s">
        <v>561</v>
      </c>
      <c r="H248" s="69" t="s">
        <v>1114</v>
      </c>
      <c r="I248" s="73" t="s">
        <v>1518</v>
      </c>
      <c r="J248" s="73" t="s">
        <v>947</v>
      </c>
      <c r="K248" s="69" t="s">
        <v>1490</v>
      </c>
      <c r="L248" s="69" t="s">
        <v>2372</v>
      </c>
      <c r="M248" s="69" t="s">
        <v>1469</v>
      </c>
      <c r="N248" s="69" t="s">
        <v>2372</v>
      </c>
      <c r="O248" s="69" t="s">
        <v>134</v>
      </c>
      <c r="P248" s="69" t="s">
        <v>2686</v>
      </c>
      <c r="Q248" s="69" t="s">
        <v>625</v>
      </c>
      <c r="R248" s="69" t="s">
        <v>170</v>
      </c>
      <c r="S248" s="69"/>
      <c r="T248" s="69"/>
      <c r="U248" s="69" t="s">
        <v>1556</v>
      </c>
      <c r="V248" s="71" t="s">
        <v>1572</v>
      </c>
      <c r="W248" s="72"/>
    </row>
    <row r="249" spans="1:23" ht="25.5" x14ac:dyDescent="0.15">
      <c r="A249" s="166"/>
      <c r="B249" s="166"/>
      <c r="C249" s="171"/>
      <c r="D249" s="67" t="s">
        <v>1568</v>
      </c>
      <c r="E249" s="68" t="s">
        <v>2375</v>
      </c>
      <c r="F249" s="68" t="s">
        <v>1046</v>
      </c>
      <c r="G249" s="69" t="s">
        <v>561</v>
      </c>
      <c r="H249" s="69" t="s">
        <v>1114</v>
      </c>
      <c r="I249" s="73" t="s">
        <v>1518</v>
      </c>
      <c r="J249" s="73" t="s">
        <v>947</v>
      </c>
      <c r="K249" s="69" t="s">
        <v>1490</v>
      </c>
      <c r="L249" s="69" t="s">
        <v>2372</v>
      </c>
      <c r="M249" s="69" t="s">
        <v>1469</v>
      </c>
      <c r="N249" s="69" t="s">
        <v>2372</v>
      </c>
      <c r="O249" s="69" t="s">
        <v>134</v>
      </c>
      <c r="P249" s="69" t="s">
        <v>1046</v>
      </c>
      <c r="Q249" s="69" t="s">
        <v>625</v>
      </c>
      <c r="R249" s="69" t="s">
        <v>170</v>
      </c>
      <c r="S249" s="69"/>
      <c r="T249" s="69"/>
      <c r="U249" s="69" t="s">
        <v>1556</v>
      </c>
      <c r="V249" s="71" t="s">
        <v>1572</v>
      </c>
      <c r="W249" s="72"/>
    </row>
    <row r="250" spans="1:23" ht="25.5" x14ac:dyDescent="0.15">
      <c r="A250" s="166"/>
      <c r="B250" s="166"/>
      <c r="C250" s="171"/>
      <c r="D250" s="67" t="s">
        <v>1568</v>
      </c>
      <c r="E250" s="68" t="s">
        <v>2068</v>
      </c>
      <c r="F250" s="68" t="s">
        <v>296</v>
      </c>
      <c r="G250" s="69" t="s">
        <v>561</v>
      </c>
      <c r="H250" s="69" t="s">
        <v>1114</v>
      </c>
      <c r="I250" s="73" t="s">
        <v>1518</v>
      </c>
      <c r="J250" s="73" t="s">
        <v>947</v>
      </c>
      <c r="K250" s="69" t="s">
        <v>1490</v>
      </c>
      <c r="L250" s="69" t="s">
        <v>2372</v>
      </c>
      <c r="M250" s="69" t="s">
        <v>1469</v>
      </c>
      <c r="N250" s="69" t="s">
        <v>2372</v>
      </c>
      <c r="O250" s="69" t="s">
        <v>134</v>
      </c>
      <c r="P250" s="69" t="s">
        <v>296</v>
      </c>
      <c r="Q250" s="69" t="s">
        <v>625</v>
      </c>
      <c r="R250" s="69" t="s">
        <v>170</v>
      </c>
      <c r="S250" s="69"/>
      <c r="T250" s="69"/>
      <c r="U250" s="69" t="s">
        <v>1556</v>
      </c>
      <c r="V250" s="71" t="s">
        <v>1572</v>
      </c>
      <c r="W250" s="72"/>
    </row>
    <row r="251" spans="1:23" ht="38.25" customHeight="1" x14ac:dyDescent="0.15">
      <c r="A251" s="166"/>
      <c r="B251" s="166"/>
      <c r="C251" s="171" t="s">
        <v>1135</v>
      </c>
      <c r="D251" s="67" t="s">
        <v>1568</v>
      </c>
      <c r="E251" s="68" t="s">
        <v>2364</v>
      </c>
      <c r="F251" s="68" t="s">
        <v>330</v>
      </c>
      <c r="G251" s="69" t="s">
        <v>583</v>
      </c>
      <c r="H251" s="69" t="s">
        <v>761</v>
      </c>
      <c r="I251" s="73" t="s">
        <v>1518</v>
      </c>
      <c r="J251" s="73" t="s">
        <v>947</v>
      </c>
      <c r="K251" s="69" t="s">
        <v>1490</v>
      </c>
      <c r="L251" s="69" t="s">
        <v>2372</v>
      </c>
      <c r="M251" s="69" t="s">
        <v>1469</v>
      </c>
      <c r="N251" s="69" t="s">
        <v>2372</v>
      </c>
      <c r="O251" s="69" t="s">
        <v>626</v>
      </c>
      <c r="P251" s="69" t="s">
        <v>330</v>
      </c>
      <c r="Q251" s="69" t="s">
        <v>548</v>
      </c>
      <c r="R251" s="69" t="s">
        <v>330</v>
      </c>
      <c r="S251" s="69"/>
      <c r="T251" s="69"/>
      <c r="U251" s="69" t="s">
        <v>1556</v>
      </c>
      <c r="V251" s="71" t="s">
        <v>1555</v>
      </c>
      <c r="W251" s="74" t="s">
        <v>766</v>
      </c>
    </row>
    <row r="252" spans="1:23" ht="51" x14ac:dyDescent="0.15">
      <c r="A252" s="166"/>
      <c r="B252" s="166"/>
      <c r="C252" s="171"/>
      <c r="D252" s="67" t="s">
        <v>1568</v>
      </c>
      <c r="E252" s="68" t="s">
        <v>1779</v>
      </c>
      <c r="F252" s="68" t="s">
        <v>340</v>
      </c>
      <c r="G252" s="69" t="s">
        <v>583</v>
      </c>
      <c r="H252" s="69" t="s">
        <v>761</v>
      </c>
      <c r="I252" s="73" t="s">
        <v>1518</v>
      </c>
      <c r="J252" s="73" t="s">
        <v>947</v>
      </c>
      <c r="K252" s="69" t="s">
        <v>1490</v>
      </c>
      <c r="L252" s="69" t="s">
        <v>2372</v>
      </c>
      <c r="M252" s="69" t="s">
        <v>1469</v>
      </c>
      <c r="N252" s="69" t="s">
        <v>2372</v>
      </c>
      <c r="O252" s="69" t="s">
        <v>563</v>
      </c>
      <c r="P252" s="69" t="s">
        <v>340</v>
      </c>
      <c r="Q252" s="69" t="s">
        <v>800</v>
      </c>
      <c r="R252" s="69" t="s">
        <v>340</v>
      </c>
      <c r="S252" s="69"/>
      <c r="T252" s="69"/>
      <c r="U252" s="69" t="s">
        <v>1556</v>
      </c>
      <c r="V252" s="71" t="s">
        <v>1555</v>
      </c>
      <c r="W252" s="74" t="s">
        <v>766</v>
      </c>
    </row>
    <row r="253" spans="1:23" ht="51" x14ac:dyDescent="0.15">
      <c r="A253" s="166"/>
      <c r="B253" s="166"/>
      <c r="C253" s="171"/>
      <c r="D253" s="67" t="s">
        <v>1568</v>
      </c>
      <c r="E253" s="68" t="s">
        <v>2178</v>
      </c>
      <c r="F253" s="68" t="s">
        <v>261</v>
      </c>
      <c r="G253" s="69" t="s">
        <v>583</v>
      </c>
      <c r="H253" s="69" t="s">
        <v>761</v>
      </c>
      <c r="I253" s="73" t="s">
        <v>1518</v>
      </c>
      <c r="J253" s="73" t="s">
        <v>947</v>
      </c>
      <c r="K253" s="69" t="s">
        <v>1490</v>
      </c>
      <c r="L253" s="69" t="s">
        <v>2372</v>
      </c>
      <c r="M253" s="69" t="s">
        <v>1469</v>
      </c>
      <c r="N253" s="69" t="s">
        <v>2372</v>
      </c>
      <c r="O253" s="69" t="s">
        <v>563</v>
      </c>
      <c r="P253" s="69" t="s">
        <v>261</v>
      </c>
      <c r="Q253" s="69" t="s">
        <v>800</v>
      </c>
      <c r="R253" s="69" t="s">
        <v>340</v>
      </c>
      <c r="S253" s="69"/>
      <c r="T253" s="69"/>
      <c r="U253" s="69" t="s">
        <v>1556</v>
      </c>
      <c r="V253" s="71" t="s">
        <v>1555</v>
      </c>
      <c r="W253" s="74" t="s">
        <v>766</v>
      </c>
    </row>
    <row r="254" spans="1:23" ht="51" x14ac:dyDescent="0.15">
      <c r="A254" s="166"/>
      <c r="B254" s="166"/>
      <c r="C254" s="171"/>
      <c r="D254" s="67" t="s">
        <v>1568</v>
      </c>
      <c r="E254" s="68" t="s">
        <v>1840</v>
      </c>
      <c r="F254" s="68" t="s">
        <v>255</v>
      </c>
      <c r="G254" s="69" t="s">
        <v>583</v>
      </c>
      <c r="H254" s="69" t="s">
        <v>761</v>
      </c>
      <c r="I254" s="73" t="s">
        <v>1518</v>
      </c>
      <c r="J254" s="73" t="s">
        <v>947</v>
      </c>
      <c r="K254" s="69" t="s">
        <v>1490</v>
      </c>
      <c r="L254" s="69" t="s">
        <v>2372</v>
      </c>
      <c r="M254" s="69" t="s">
        <v>1469</v>
      </c>
      <c r="N254" s="69" t="s">
        <v>2372</v>
      </c>
      <c r="O254" s="69" t="s">
        <v>563</v>
      </c>
      <c r="P254" s="69" t="s">
        <v>255</v>
      </c>
      <c r="Q254" s="69" t="s">
        <v>800</v>
      </c>
      <c r="R254" s="69" t="s">
        <v>340</v>
      </c>
      <c r="S254" s="69"/>
      <c r="T254" s="69"/>
      <c r="U254" s="69" t="s">
        <v>1556</v>
      </c>
      <c r="V254" s="71" t="s">
        <v>1555</v>
      </c>
      <c r="W254" s="74" t="s">
        <v>766</v>
      </c>
    </row>
    <row r="255" spans="1:23" ht="51" x14ac:dyDescent="0.15">
      <c r="A255" s="166"/>
      <c r="B255" s="166"/>
      <c r="C255" s="171"/>
      <c r="D255" s="67" t="s">
        <v>1568</v>
      </c>
      <c r="E255" s="68" t="s">
        <v>1640</v>
      </c>
      <c r="F255" s="68" t="s">
        <v>251</v>
      </c>
      <c r="G255" s="69" t="s">
        <v>583</v>
      </c>
      <c r="H255" s="69" t="s">
        <v>761</v>
      </c>
      <c r="I255" s="73" t="s">
        <v>1518</v>
      </c>
      <c r="J255" s="73" t="s">
        <v>947</v>
      </c>
      <c r="K255" s="69" t="s">
        <v>1490</v>
      </c>
      <c r="L255" s="69" t="s">
        <v>2372</v>
      </c>
      <c r="M255" s="69" t="s">
        <v>1469</v>
      </c>
      <c r="N255" s="69" t="s">
        <v>2372</v>
      </c>
      <c r="O255" s="69" t="s">
        <v>563</v>
      </c>
      <c r="P255" s="69" t="s">
        <v>251</v>
      </c>
      <c r="Q255" s="69" t="s">
        <v>800</v>
      </c>
      <c r="R255" s="69" t="s">
        <v>340</v>
      </c>
      <c r="S255" s="69"/>
      <c r="T255" s="69"/>
      <c r="U255" s="69" t="s">
        <v>1556</v>
      </c>
      <c r="V255" s="71" t="s">
        <v>1555</v>
      </c>
      <c r="W255" s="74" t="s">
        <v>766</v>
      </c>
    </row>
    <row r="256" spans="1:23" ht="38.25" x14ac:dyDescent="0.15">
      <c r="A256" s="166"/>
      <c r="B256" s="166"/>
      <c r="C256" s="171" t="s">
        <v>824</v>
      </c>
      <c r="D256" s="67" t="s">
        <v>1568</v>
      </c>
      <c r="E256" s="68" t="s">
        <v>2303</v>
      </c>
      <c r="F256" s="68" t="s">
        <v>1250</v>
      </c>
      <c r="G256" s="69" t="s">
        <v>87</v>
      </c>
      <c r="H256" s="69" t="s">
        <v>1158</v>
      </c>
      <c r="I256" s="73" t="s">
        <v>1491</v>
      </c>
      <c r="J256" s="76" t="s">
        <v>1227</v>
      </c>
      <c r="K256" s="69" t="s">
        <v>1344</v>
      </c>
      <c r="L256" s="69" t="s">
        <v>2638</v>
      </c>
      <c r="M256" s="69" t="s">
        <v>809</v>
      </c>
      <c r="N256" s="69" t="s">
        <v>941</v>
      </c>
      <c r="O256" s="69" t="s">
        <v>847</v>
      </c>
      <c r="P256" s="69" t="s">
        <v>1250</v>
      </c>
      <c r="Q256" s="69" t="s">
        <v>796</v>
      </c>
      <c r="R256" s="69" t="s">
        <v>1250</v>
      </c>
      <c r="S256" s="69"/>
      <c r="T256" s="69"/>
      <c r="U256" s="69" t="s">
        <v>1556</v>
      </c>
      <c r="V256" s="71" t="s">
        <v>1572</v>
      </c>
      <c r="W256" s="72"/>
    </row>
    <row r="257" spans="1:23" ht="38.25" x14ac:dyDescent="0.15">
      <c r="A257" s="166"/>
      <c r="B257" s="166"/>
      <c r="C257" s="171"/>
      <c r="D257" s="67" t="s">
        <v>1568</v>
      </c>
      <c r="E257" s="68" t="s">
        <v>2180</v>
      </c>
      <c r="F257" s="68" t="s">
        <v>643</v>
      </c>
      <c r="G257" s="69" t="s">
        <v>87</v>
      </c>
      <c r="H257" s="69" t="s">
        <v>1158</v>
      </c>
      <c r="I257" s="73" t="s">
        <v>120</v>
      </c>
      <c r="J257" s="76" t="s">
        <v>190</v>
      </c>
      <c r="K257" s="69" t="s">
        <v>280</v>
      </c>
      <c r="L257" s="69" t="s">
        <v>1277</v>
      </c>
      <c r="M257" s="69" t="s">
        <v>809</v>
      </c>
      <c r="N257" s="69" t="s">
        <v>941</v>
      </c>
      <c r="O257" s="69" t="s">
        <v>847</v>
      </c>
      <c r="P257" s="69" t="s">
        <v>643</v>
      </c>
      <c r="Q257" s="69" t="s">
        <v>796</v>
      </c>
      <c r="R257" s="69" t="s">
        <v>1250</v>
      </c>
      <c r="S257" s="69"/>
      <c r="T257" s="69"/>
      <c r="U257" s="69" t="s">
        <v>1556</v>
      </c>
      <c r="V257" s="71" t="s">
        <v>1572</v>
      </c>
      <c r="W257" s="72"/>
    </row>
    <row r="258" spans="1:23" ht="25.5" x14ac:dyDescent="0.15">
      <c r="A258" s="166"/>
      <c r="B258" s="166"/>
      <c r="C258" s="171"/>
      <c r="D258" s="67" t="s">
        <v>1568</v>
      </c>
      <c r="E258" s="68" t="s">
        <v>1828</v>
      </c>
      <c r="F258" s="68" t="s">
        <v>1195</v>
      </c>
      <c r="G258" s="69" t="s">
        <v>87</v>
      </c>
      <c r="H258" s="69" t="s">
        <v>1158</v>
      </c>
      <c r="I258" s="73" t="s">
        <v>1491</v>
      </c>
      <c r="J258" s="76" t="s">
        <v>1227</v>
      </c>
      <c r="K258" s="69" t="s">
        <v>607</v>
      </c>
      <c r="L258" s="69" t="s">
        <v>941</v>
      </c>
      <c r="M258" s="69" t="s">
        <v>809</v>
      </c>
      <c r="N258" s="69" t="s">
        <v>941</v>
      </c>
      <c r="O258" s="69" t="s">
        <v>847</v>
      </c>
      <c r="P258" s="69" t="s">
        <v>1195</v>
      </c>
      <c r="Q258" s="69" t="s">
        <v>796</v>
      </c>
      <c r="R258" s="69" t="s">
        <v>1250</v>
      </c>
      <c r="S258" s="69"/>
      <c r="T258" s="69"/>
      <c r="U258" s="69" t="s">
        <v>1556</v>
      </c>
      <c r="V258" s="71" t="s">
        <v>1572</v>
      </c>
      <c r="W258" s="72"/>
    </row>
    <row r="259" spans="1:23" ht="25.5" x14ac:dyDescent="0.15">
      <c r="A259" s="166"/>
      <c r="B259" s="166"/>
      <c r="C259" s="171"/>
      <c r="D259" s="67" t="s">
        <v>1568</v>
      </c>
      <c r="E259" s="68" t="s">
        <v>2350</v>
      </c>
      <c r="F259" s="68" t="s">
        <v>1166</v>
      </c>
      <c r="G259" s="69" t="s">
        <v>87</v>
      </c>
      <c r="H259" s="69" t="s">
        <v>1158</v>
      </c>
      <c r="I259" s="73" t="s">
        <v>1491</v>
      </c>
      <c r="J259" s="76" t="s">
        <v>1227</v>
      </c>
      <c r="K259" s="69" t="s">
        <v>607</v>
      </c>
      <c r="L259" s="69" t="s">
        <v>941</v>
      </c>
      <c r="M259" s="69" t="s">
        <v>809</v>
      </c>
      <c r="N259" s="69" t="s">
        <v>941</v>
      </c>
      <c r="O259" s="69" t="s">
        <v>847</v>
      </c>
      <c r="P259" s="69" t="s">
        <v>1166</v>
      </c>
      <c r="Q259" s="69" t="s">
        <v>796</v>
      </c>
      <c r="R259" s="69" t="s">
        <v>1250</v>
      </c>
      <c r="S259" s="69"/>
      <c r="T259" s="69"/>
      <c r="U259" s="69" t="s">
        <v>1556</v>
      </c>
      <c r="V259" s="71" t="s">
        <v>1572</v>
      </c>
      <c r="W259" s="72"/>
    </row>
    <row r="260" spans="1:23" ht="25.5" x14ac:dyDescent="0.15">
      <c r="A260" s="166"/>
      <c r="B260" s="166"/>
      <c r="C260" s="171"/>
      <c r="D260" s="67" t="s">
        <v>1568</v>
      </c>
      <c r="E260" s="68" t="s">
        <v>2233</v>
      </c>
      <c r="F260" s="68" t="s">
        <v>173</v>
      </c>
      <c r="G260" s="69" t="s">
        <v>87</v>
      </c>
      <c r="H260" s="69" t="s">
        <v>1158</v>
      </c>
      <c r="I260" s="73" t="s">
        <v>1491</v>
      </c>
      <c r="J260" s="76" t="s">
        <v>1227</v>
      </c>
      <c r="K260" s="69" t="s">
        <v>607</v>
      </c>
      <c r="L260" s="69" t="s">
        <v>941</v>
      </c>
      <c r="M260" s="69" t="s">
        <v>809</v>
      </c>
      <c r="N260" s="69" t="s">
        <v>941</v>
      </c>
      <c r="O260" s="69" t="s">
        <v>847</v>
      </c>
      <c r="P260" s="69" t="s">
        <v>173</v>
      </c>
      <c r="Q260" s="69" t="s">
        <v>796</v>
      </c>
      <c r="R260" s="69" t="s">
        <v>1250</v>
      </c>
      <c r="S260" s="69"/>
      <c r="T260" s="69"/>
      <c r="U260" s="69" t="s">
        <v>1556</v>
      </c>
      <c r="V260" s="71" t="s">
        <v>1572</v>
      </c>
      <c r="W260" s="72"/>
    </row>
    <row r="261" spans="1:23" ht="25.5" x14ac:dyDescent="0.15">
      <c r="A261" s="166"/>
      <c r="B261" s="166"/>
      <c r="C261" s="171"/>
      <c r="D261" s="67" t="s">
        <v>1568</v>
      </c>
      <c r="E261" s="68" t="s">
        <v>2034</v>
      </c>
      <c r="F261" s="68" t="s">
        <v>188</v>
      </c>
      <c r="G261" s="69" t="s">
        <v>87</v>
      </c>
      <c r="H261" s="69" t="s">
        <v>1158</v>
      </c>
      <c r="I261" s="73" t="s">
        <v>1491</v>
      </c>
      <c r="J261" s="76" t="s">
        <v>1227</v>
      </c>
      <c r="K261" s="69" t="s">
        <v>607</v>
      </c>
      <c r="L261" s="69" t="s">
        <v>941</v>
      </c>
      <c r="M261" s="69" t="s">
        <v>809</v>
      </c>
      <c r="N261" s="69" t="s">
        <v>941</v>
      </c>
      <c r="O261" s="69" t="s">
        <v>847</v>
      </c>
      <c r="P261" s="69" t="s">
        <v>188</v>
      </c>
      <c r="Q261" s="69" t="s">
        <v>796</v>
      </c>
      <c r="R261" s="69" t="s">
        <v>1250</v>
      </c>
      <c r="S261" s="69"/>
      <c r="T261" s="69"/>
      <c r="U261" s="69" t="s">
        <v>1556</v>
      </c>
      <c r="V261" s="71" t="s">
        <v>1572</v>
      </c>
      <c r="W261" s="72"/>
    </row>
    <row r="262" spans="1:23" ht="25.5" x14ac:dyDescent="0.15">
      <c r="A262" s="166"/>
      <c r="B262" s="166"/>
      <c r="C262" s="171"/>
      <c r="D262" s="67" t="s">
        <v>1568</v>
      </c>
      <c r="E262" s="68" t="s">
        <v>2509</v>
      </c>
      <c r="F262" s="68" t="s">
        <v>146</v>
      </c>
      <c r="G262" s="69" t="s">
        <v>87</v>
      </c>
      <c r="H262" s="69" t="s">
        <v>1158</v>
      </c>
      <c r="I262" s="73" t="s">
        <v>1491</v>
      </c>
      <c r="J262" s="76" t="s">
        <v>1227</v>
      </c>
      <c r="K262" s="69" t="s">
        <v>607</v>
      </c>
      <c r="L262" s="69" t="s">
        <v>941</v>
      </c>
      <c r="M262" s="69" t="s">
        <v>809</v>
      </c>
      <c r="N262" s="69" t="s">
        <v>941</v>
      </c>
      <c r="O262" s="69" t="s">
        <v>847</v>
      </c>
      <c r="P262" s="69" t="s">
        <v>146</v>
      </c>
      <c r="Q262" s="69" t="s">
        <v>796</v>
      </c>
      <c r="R262" s="69" t="s">
        <v>1250</v>
      </c>
      <c r="S262" s="69"/>
      <c r="T262" s="69"/>
      <c r="U262" s="69" t="s">
        <v>1556</v>
      </c>
      <c r="V262" s="71" t="s">
        <v>1572</v>
      </c>
      <c r="W262" s="72"/>
    </row>
    <row r="263" spans="1:23" ht="25.5" x14ac:dyDescent="0.15">
      <c r="A263" s="166"/>
      <c r="B263" s="166"/>
      <c r="C263" s="171"/>
      <c r="D263" s="67" t="s">
        <v>1568</v>
      </c>
      <c r="E263" s="68" t="s">
        <v>2378</v>
      </c>
      <c r="F263" s="68" t="s">
        <v>233</v>
      </c>
      <c r="G263" s="69" t="s">
        <v>87</v>
      </c>
      <c r="H263" s="69" t="s">
        <v>1158</v>
      </c>
      <c r="I263" s="73" t="s">
        <v>1491</v>
      </c>
      <c r="J263" s="76" t="s">
        <v>1227</v>
      </c>
      <c r="K263" s="69" t="s">
        <v>607</v>
      </c>
      <c r="L263" s="69" t="s">
        <v>941</v>
      </c>
      <c r="M263" s="69" t="s">
        <v>809</v>
      </c>
      <c r="N263" s="69" t="s">
        <v>941</v>
      </c>
      <c r="O263" s="69" t="s">
        <v>847</v>
      </c>
      <c r="P263" s="69" t="s">
        <v>233</v>
      </c>
      <c r="Q263" s="69" t="s">
        <v>796</v>
      </c>
      <c r="R263" s="69" t="s">
        <v>1250</v>
      </c>
      <c r="S263" s="69"/>
      <c r="T263" s="69"/>
      <c r="U263" s="69" t="s">
        <v>1556</v>
      </c>
      <c r="V263" s="71" t="s">
        <v>1572</v>
      </c>
      <c r="W263" s="72"/>
    </row>
    <row r="264" spans="1:23" ht="25.5" x14ac:dyDescent="0.15">
      <c r="A264" s="166"/>
      <c r="B264" s="166"/>
      <c r="C264" s="171"/>
      <c r="D264" s="67" t="s">
        <v>1568</v>
      </c>
      <c r="E264" s="68" t="s">
        <v>2221</v>
      </c>
      <c r="F264" s="68" t="s">
        <v>177</v>
      </c>
      <c r="G264" s="69" t="s">
        <v>87</v>
      </c>
      <c r="H264" s="69" t="s">
        <v>1158</v>
      </c>
      <c r="I264" s="73" t="s">
        <v>1491</v>
      </c>
      <c r="J264" s="76" t="s">
        <v>1227</v>
      </c>
      <c r="K264" s="69" t="s">
        <v>607</v>
      </c>
      <c r="L264" s="69" t="s">
        <v>941</v>
      </c>
      <c r="M264" s="69" t="s">
        <v>809</v>
      </c>
      <c r="N264" s="69" t="s">
        <v>941</v>
      </c>
      <c r="O264" s="69" t="s">
        <v>847</v>
      </c>
      <c r="P264" s="69" t="s">
        <v>177</v>
      </c>
      <c r="Q264" s="69" t="s">
        <v>796</v>
      </c>
      <c r="R264" s="69" t="s">
        <v>1250</v>
      </c>
      <c r="S264" s="69"/>
      <c r="T264" s="69"/>
      <c r="U264" s="69" t="s">
        <v>1556</v>
      </c>
      <c r="V264" s="71" t="s">
        <v>1572</v>
      </c>
      <c r="W264" s="72"/>
    </row>
    <row r="265" spans="1:23" ht="25.5" x14ac:dyDescent="0.15">
      <c r="A265" s="166"/>
      <c r="B265" s="166"/>
      <c r="C265" s="171"/>
      <c r="D265" s="67" t="s">
        <v>1568</v>
      </c>
      <c r="E265" s="68" t="s">
        <v>2407</v>
      </c>
      <c r="F265" s="68" t="s">
        <v>332</v>
      </c>
      <c r="G265" s="69" t="s">
        <v>87</v>
      </c>
      <c r="H265" s="69" t="s">
        <v>1158</v>
      </c>
      <c r="I265" s="73" t="s">
        <v>1491</v>
      </c>
      <c r="J265" s="76" t="s">
        <v>1227</v>
      </c>
      <c r="K265" s="69" t="s">
        <v>607</v>
      </c>
      <c r="L265" s="69" t="s">
        <v>941</v>
      </c>
      <c r="M265" s="69" t="s">
        <v>809</v>
      </c>
      <c r="N265" s="69" t="s">
        <v>941</v>
      </c>
      <c r="O265" s="69" t="s">
        <v>847</v>
      </c>
      <c r="P265" s="69" t="s">
        <v>332</v>
      </c>
      <c r="Q265" s="69" t="s">
        <v>796</v>
      </c>
      <c r="R265" s="69" t="s">
        <v>1250</v>
      </c>
      <c r="S265" s="69"/>
      <c r="T265" s="69"/>
      <c r="U265" s="69" t="s">
        <v>1556</v>
      </c>
      <c r="V265" s="71" t="s">
        <v>1572</v>
      </c>
      <c r="W265" s="72"/>
    </row>
    <row r="266" spans="1:23" ht="25.5" x14ac:dyDescent="0.15">
      <c r="A266" s="166"/>
      <c r="B266" s="166"/>
      <c r="C266" s="171"/>
      <c r="D266" s="67" t="s">
        <v>1568</v>
      </c>
      <c r="E266" s="68" t="s">
        <v>2075</v>
      </c>
      <c r="F266" s="68" t="s">
        <v>314</v>
      </c>
      <c r="G266" s="69" t="s">
        <v>87</v>
      </c>
      <c r="H266" s="69" t="s">
        <v>1158</v>
      </c>
      <c r="I266" s="73" t="s">
        <v>1491</v>
      </c>
      <c r="J266" s="76" t="s">
        <v>1227</v>
      </c>
      <c r="K266" s="69" t="s">
        <v>607</v>
      </c>
      <c r="L266" s="69" t="s">
        <v>941</v>
      </c>
      <c r="M266" s="69" t="s">
        <v>809</v>
      </c>
      <c r="N266" s="69" t="s">
        <v>941</v>
      </c>
      <c r="O266" s="69" t="s">
        <v>847</v>
      </c>
      <c r="P266" s="69" t="s">
        <v>314</v>
      </c>
      <c r="Q266" s="69" t="s">
        <v>796</v>
      </c>
      <c r="R266" s="69" t="s">
        <v>1250</v>
      </c>
      <c r="S266" s="69"/>
      <c r="T266" s="69"/>
      <c r="U266" s="69" t="s">
        <v>1556</v>
      </c>
      <c r="V266" s="71" t="s">
        <v>1572</v>
      </c>
      <c r="W266" s="72"/>
    </row>
    <row r="267" spans="1:23" ht="25.5" x14ac:dyDescent="0.15">
      <c r="A267" s="166"/>
      <c r="B267" s="166"/>
      <c r="C267" s="171"/>
      <c r="D267" s="67" t="s">
        <v>1568</v>
      </c>
      <c r="E267" s="68" t="s">
        <v>2392</v>
      </c>
      <c r="F267" s="68" t="s">
        <v>168</v>
      </c>
      <c r="G267" s="69" t="s">
        <v>87</v>
      </c>
      <c r="H267" s="69" t="s">
        <v>1158</v>
      </c>
      <c r="I267" s="73" t="s">
        <v>1491</v>
      </c>
      <c r="J267" s="76" t="s">
        <v>1227</v>
      </c>
      <c r="K267" s="69" t="s">
        <v>607</v>
      </c>
      <c r="L267" s="69" t="s">
        <v>941</v>
      </c>
      <c r="M267" s="69" t="s">
        <v>809</v>
      </c>
      <c r="N267" s="69" t="s">
        <v>941</v>
      </c>
      <c r="O267" s="69" t="s">
        <v>847</v>
      </c>
      <c r="P267" s="69" t="s">
        <v>168</v>
      </c>
      <c r="Q267" s="69" t="s">
        <v>796</v>
      </c>
      <c r="R267" s="69" t="s">
        <v>1250</v>
      </c>
      <c r="S267" s="69"/>
      <c r="T267" s="69"/>
      <c r="U267" s="69" t="s">
        <v>1556</v>
      </c>
      <c r="V267" s="71" t="s">
        <v>1572</v>
      </c>
      <c r="W267" s="72"/>
    </row>
    <row r="268" spans="1:23" ht="25.5" x14ac:dyDescent="0.15">
      <c r="A268" s="166"/>
      <c r="B268" s="166"/>
      <c r="C268" s="171"/>
      <c r="D268" s="67" t="s">
        <v>1568</v>
      </c>
      <c r="E268" s="68" t="s">
        <v>1631</v>
      </c>
      <c r="F268" s="68" t="s">
        <v>144</v>
      </c>
      <c r="G268" s="69" t="s">
        <v>87</v>
      </c>
      <c r="H268" s="69" t="s">
        <v>1158</v>
      </c>
      <c r="I268" s="73" t="s">
        <v>1491</v>
      </c>
      <c r="J268" s="76" t="s">
        <v>1227</v>
      </c>
      <c r="K268" s="69" t="s">
        <v>607</v>
      </c>
      <c r="L268" s="69" t="s">
        <v>941</v>
      </c>
      <c r="M268" s="69" t="s">
        <v>809</v>
      </c>
      <c r="N268" s="69" t="s">
        <v>941</v>
      </c>
      <c r="O268" s="69" t="s">
        <v>847</v>
      </c>
      <c r="P268" s="69" t="s">
        <v>144</v>
      </c>
      <c r="Q268" s="69" t="s">
        <v>796</v>
      </c>
      <c r="R268" s="69" t="s">
        <v>1250</v>
      </c>
      <c r="S268" s="69"/>
      <c r="T268" s="69"/>
      <c r="U268" s="69" t="s">
        <v>1591</v>
      </c>
      <c r="V268" s="71" t="s">
        <v>1572</v>
      </c>
      <c r="W268" s="72"/>
    </row>
    <row r="269" spans="1:23" ht="38.25" x14ac:dyDescent="0.15">
      <c r="A269" s="167"/>
      <c r="B269" s="167"/>
      <c r="C269" s="171"/>
      <c r="D269" s="67" t="s">
        <v>1568</v>
      </c>
      <c r="E269" s="68" t="s">
        <v>1795</v>
      </c>
      <c r="F269" s="68" t="s">
        <v>2675</v>
      </c>
      <c r="G269" s="69" t="s">
        <v>87</v>
      </c>
      <c r="H269" s="69" t="s">
        <v>1158</v>
      </c>
      <c r="I269" s="73" t="s">
        <v>1491</v>
      </c>
      <c r="J269" s="76" t="s">
        <v>1227</v>
      </c>
      <c r="K269" s="69" t="s">
        <v>607</v>
      </c>
      <c r="L269" s="69" t="s">
        <v>941</v>
      </c>
      <c r="M269" s="69" t="s">
        <v>809</v>
      </c>
      <c r="N269" s="69" t="s">
        <v>941</v>
      </c>
      <c r="O269" s="69" t="s">
        <v>847</v>
      </c>
      <c r="P269" s="69" t="s">
        <v>2675</v>
      </c>
      <c r="Q269" s="69" t="s">
        <v>796</v>
      </c>
      <c r="R269" s="69" t="s">
        <v>1250</v>
      </c>
      <c r="S269" s="69"/>
      <c r="T269" s="69"/>
      <c r="U269" s="69" t="s">
        <v>1591</v>
      </c>
      <c r="V269" s="71" t="s">
        <v>1572</v>
      </c>
      <c r="W269" s="72"/>
    </row>
    <row r="270" spans="1:23" ht="38.25" customHeight="1" x14ac:dyDescent="0.15">
      <c r="A270" s="165" t="s">
        <v>1127</v>
      </c>
      <c r="B270" s="165" t="s">
        <v>708</v>
      </c>
      <c r="C270" s="171" t="s">
        <v>163</v>
      </c>
      <c r="D270" s="67" t="s">
        <v>1568</v>
      </c>
      <c r="E270" s="68" t="s">
        <v>2138</v>
      </c>
      <c r="F270" s="68" t="s">
        <v>2703</v>
      </c>
      <c r="G270" s="69" t="s">
        <v>1457</v>
      </c>
      <c r="H270" s="69" t="s">
        <v>2703</v>
      </c>
      <c r="I270" s="73" t="s">
        <v>396</v>
      </c>
      <c r="J270" s="73" t="s">
        <v>204</v>
      </c>
      <c r="K270" s="69" t="s">
        <v>852</v>
      </c>
      <c r="L270" s="69" t="s">
        <v>595</v>
      </c>
      <c r="M270" s="69" t="s">
        <v>587</v>
      </c>
      <c r="N270" s="69" t="s">
        <v>595</v>
      </c>
      <c r="O270" s="69" t="s">
        <v>575</v>
      </c>
      <c r="P270" s="69" t="s">
        <v>2703</v>
      </c>
      <c r="Q270" s="69" t="s">
        <v>1493</v>
      </c>
      <c r="R270" s="69" t="s">
        <v>2703</v>
      </c>
      <c r="S270" s="69"/>
      <c r="T270" s="69"/>
      <c r="U270" s="69" t="s">
        <v>1591</v>
      </c>
      <c r="V270" s="71" t="s">
        <v>1555</v>
      </c>
      <c r="W270" s="74" t="s">
        <v>766</v>
      </c>
    </row>
    <row r="271" spans="1:23" ht="25.5" x14ac:dyDescent="0.15">
      <c r="A271" s="166"/>
      <c r="B271" s="166"/>
      <c r="C271" s="171"/>
      <c r="D271" s="67" t="s">
        <v>1568</v>
      </c>
      <c r="E271" s="68" t="s">
        <v>2202</v>
      </c>
      <c r="F271" s="68" t="s">
        <v>81</v>
      </c>
      <c r="G271" s="69" t="s">
        <v>1523</v>
      </c>
      <c r="H271" s="69" t="s">
        <v>541</v>
      </c>
      <c r="I271" s="73" t="s">
        <v>1545</v>
      </c>
      <c r="J271" s="77" t="s">
        <v>2222</v>
      </c>
      <c r="K271" s="69" t="s">
        <v>199</v>
      </c>
      <c r="L271" s="69" t="s">
        <v>1326</v>
      </c>
      <c r="M271" s="69" t="s">
        <v>1527</v>
      </c>
      <c r="N271" s="69" t="s">
        <v>916</v>
      </c>
      <c r="O271" s="69" t="s">
        <v>42</v>
      </c>
      <c r="P271" s="69" t="s">
        <v>81</v>
      </c>
      <c r="Q271" s="69" t="s">
        <v>1474</v>
      </c>
      <c r="R271" s="69" t="s">
        <v>81</v>
      </c>
      <c r="S271" s="69"/>
      <c r="T271" s="69"/>
      <c r="U271" s="69" t="s">
        <v>1556</v>
      </c>
      <c r="V271" s="71" t="s">
        <v>1572</v>
      </c>
      <c r="W271" s="72"/>
    </row>
    <row r="272" spans="1:23" ht="25.5" x14ac:dyDescent="0.15">
      <c r="A272" s="166"/>
      <c r="B272" s="166"/>
      <c r="C272" s="171"/>
      <c r="D272" s="67" t="s">
        <v>1568</v>
      </c>
      <c r="E272" s="68" t="s">
        <v>2436</v>
      </c>
      <c r="F272" s="68" t="s">
        <v>136</v>
      </c>
      <c r="G272" s="69" t="s">
        <v>1523</v>
      </c>
      <c r="H272" s="69" t="s">
        <v>541</v>
      </c>
      <c r="I272" s="73" t="s">
        <v>1545</v>
      </c>
      <c r="J272" s="77" t="s">
        <v>2222</v>
      </c>
      <c r="K272" s="69" t="s">
        <v>199</v>
      </c>
      <c r="L272" s="69" t="s">
        <v>1326</v>
      </c>
      <c r="M272" s="69" t="s">
        <v>1527</v>
      </c>
      <c r="N272" s="69" t="s">
        <v>916</v>
      </c>
      <c r="O272" s="69" t="s">
        <v>42</v>
      </c>
      <c r="P272" s="69" t="s">
        <v>136</v>
      </c>
      <c r="Q272" s="69" t="s">
        <v>1474</v>
      </c>
      <c r="R272" s="69" t="s">
        <v>81</v>
      </c>
      <c r="S272" s="69"/>
      <c r="T272" s="69"/>
      <c r="U272" s="69" t="s">
        <v>1556</v>
      </c>
      <c r="V272" s="71" t="s">
        <v>1572</v>
      </c>
      <c r="W272" s="72"/>
    </row>
    <row r="273" spans="1:23" ht="25.5" x14ac:dyDescent="0.15">
      <c r="A273" s="166"/>
      <c r="B273" s="166"/>
      <c r="C273" s="171"/>
      <c r="D273" s="67" t="s">
        <v>1568</v>
      </c>
      <c r="E273" s="68" t="s">
        <v>2053</v>
      </c>
      <c r="F273" s="68" t="s">
        <v>861</v>
      </c>
      <c r="G273" s="69" t="s">
        <v>1523</v>
      </c>
      <c r="H273" s="69" t="s">
        <v>541</v>
      </c>
      <c r="I273" s="73" t="s">
        <v>1545</v>
      </c>
      <c r="J273" s="77" t="s">
        <v>2222</v>
      </c>
      <c r="K273" s="69" t="s">
        <v>199</v>
      </c>
      <c r="L273" s="69" t="s">
        <v>1326</v>
      </c>
      <c r="M273" s="69" t="s">
        <v>1527</v>
      </c>
      <c r="N273" s="69" t="s">
        <v>916</v>
      </c>
      <c r="O273" s="69" t="s">
        <v>42</v>
      </c>
      <c r="P273" s="69" t="s">
        <v>861</v>
      </c>
      <c r="Q273" s="69" t="s">
        <v>1474</v>
      </c>
      <c r="R273" s="69" t="s">
        <v>81</v>
      </c>
      <c r="S273" s="69"/>
      <c r="T273" s="69"/>
      <c r="U273" s="69" t="s">
        <v>1591</v>
      </c>
      <c r="V273" s="71" t="s">
        <v>1572</v>
      </c>
      <c r="W273" s="72"/>
    </row>
    <row r="274" spans="1:23" ht="25.5" x14ac:dyDescent="0.15">
      <c r="A274" s="166"/>
      <c r="B274" s="166"/>
      <c r="C274" s="171"/>
      <c r="D274" s="67" t="s">
        <v>1568</v>
      </c>
      <c r="E274" s="68" t="s">
        <v>2377</v>
      </c>
      <c r="F274" s="68" t="s">
        <v>853</v>
      </c>
      <c r="G274" s="69" t="s">
        <v>1523</v>
      </c>
      <c r="H274" s="69" t="s">
        <v>541</v>
      </c>
      <c r="I274" s="73" t="s">
        <v>1545</v>
      </c>
      <c r="J274" s="77" t="s">
        <v>2222</v>
      </c>
      <c r="K274" s="69" t="s">
        <v>199</v>
      </c>
      <c r="L274" s="69" t="s">
        <v>1326</v>
      </c>
      <c r="M274" s="69" t="s">
        <v>1527</v>
      </c>
      <c r="N274" s="69" t="s">
        <v>916</v>
      </c>
      <c r="O274" s="69" t="s">
        <v>42</v>
      </c>
      <c r="P274" s="69" t="s">
        <v>853</v>
      </c>
      <c r="Q274" s="69" t="s">
        <v>1474</v>
      </c>
      <c r="R274" s="69" t="s">
        <v>81</v>
      </c>
      <c r="S274" s="69"/>
      <c r="T274" s="69"/>
      <c r="U274" s="69" t="s">
        <v>1556</v>
      </c>
      <c r="V274" s="71" t="s">
        <v>1572</v>
      </c>
      <c r="W274" s="72"/>
    </row>
    <row r="275" spans="1:23" ht="25.5" x14ac:dyDescent="0.15">
      <c r="A275" s="166"/>
      <c r="B275" s="166"/>
      <c r="C275" s="171"/>
      <c r="D275" s="67" t="s">
        <v>1568</v>
      </c>
      <c r="E275" s="68" t="s">
        <v>2349</v>
      </c>
      <c r="F275" s="68" t="s">
        <v>844</v>
      </c>
      <c r="G275" s="69" t="s">
        <v>1523</v>
      </c>
      <c r="H275" s="69" t="s">
        <v>541</v>
      </c>
      <c r="I275" s="73" t="s">
        <v>1545</v>
      </c>
      <c r="J275" s="77" t="s">
        <v>2222</v>
      </c>
      <c r="K275" s="69" t="s">
        <v>199</v>
      </c>
      <c r="L275" s="69" t="s">
        <v>1326</v>
      </c>
      <c r="M275" s="69" t="s">
        <v>1527</v>
      </c>
      <c r="N275" s="69" t="s">
        <v>916</v>
      </c>
      <c r="O275" s="69" t="s">
        <v>42</v>
      </c>
      <c r="P275" s="69" t="s">
        <v>844</v>
      </c>
      <c r="Q275" s="69" t="s">
        <v>1474</v>
      </c>
      <c r="R275" s="69" t="s">
        <v>81</v>
      </c>
      <c r="S275" s="69"/>
      <c r="T275" s="69"/>
      <c r="U275" s="69" t="s">
        <v>1556</v>
      </c>
      <c r="V275" s="71" t="s">
        <v>1572</v>
      </c>
      <c r="W275" s="72"/>
    </row>
    <row r="276" spans="1:23" ht="25.5" x14ac:dyDescent="0.15">
      <c r="A276" s="166"/>
      <c r="B276" s="166"/>
      <c r="C276" s="171"/>
      <c r="D276" s="67" t="s">
        <v>1568</v>
      </c>
      <c r="E276" s="68" t="s">
        <v>2050</v>
      </c>
      <c r="F276" s="68" t="s">
        <v>1254</v>
      </c>
      <c r="G276" s="69" t="s">
        <v>652</v>
      </c>
      <c r="H276" s="69" t="s">
        <v>1484</v>
      </c>
      <c r="I276" s="73" t="s">
        <v>592</v>
      </c>
      <c r="J276" s="73" t="s">
        <v>1285</v>
      </c>
      <c r="K276" s="69" t="s">
        <v>1416</v>
      </c>
      <c r="L276" s="69" t="s">
        <v>2067</v>
      </c>
      <c r="M276" s="69" t="s">
        <v>566</v>
      </c>
      <c r="N276" s="69" t="s">
        <v>2067</v>
      </c>
      <c r="O276" s="69" t="s">
        <v>879</v>
      </c>
      <c r="P276" s="69" t="s">
        <v>1254</v>
      </c>
      <c r="Q276" s="69" t="s">
        <v>539</v>
      </c>
      <c r="R276" s="69" t="s">
        <v>1254</v>
      </c>
      <c r="S276" s="69"/>
      <c r="T276" s="69"/>
      <c r="U276" s="69" t="s">
        <v>1591</v>
      </c>
      <c r="V276" s="71" t="s">
        <v>1572</v>
      </c>
      <c r="W276" s="72"/>
    </row>
    <row r="277" spans="1:23" ht="25.5" x14ac:dyDescent="0.15">
      <c r="A277" s="166"/>
      <c r="B277" s="166"/>
      <c r="C277" s="171"/>
      <c r="D277" s="67" t="s">
        <v>1568</v>
      </c>
      <c r="E277" s="68" t="s">
        <v>2382</v>
      </c>
      <c r="F277" s="68" t="s">
        <v>1193</v>
      </c>
      <c r="G277" s="69" t="s">
        <v>870</v>
      </c>
      <c r="H277" s="69" t="s">
        <v>601</v>
      </c>
      <c r="I277" s="73" t="s">
        <v>592</v>
      </c>
      <c r="J277" s="73" t="s">
        <v>1285</v>
      </c>
      <c r="K277" s="69" t="s">
        <v>1416</v>
      </c>
      <c r="L277" s="69" t="s">
        <v>2067</v>
      </c>
      <c r="M277" s="69" t="s">
        <v>566</v>
      </c>
      <c r="N277" s="69" t="s">
        <v>2067</v>
      </c>
      <c r="O277" s="69" t="s">
        <v>879</v>
      </c>
      <c r="P277" s="69" t="s">
        <v>1193</v>
      </c>
      <c r="Q277" s="69" t="s">
        <v>539</v>
      </c>
      <c r="R277" s="69" t="s">
        <v>1254</v>
      </c>
      <c r="S277" s="69"/>
      <c r="T277" s="69"/>
      <c r="U277" s="69" t="s">
        <v>1591</v>
      </c>
      <c r="V277" s="71" t="s">
        <v>1572</v>
      </c>
      <c r="W277" s="72"/>
    </row>
    <row r="278" spans="1:23" ht="25.5" x14ac:dyDescent="0.15">
      <c r="A278" s="166"/>
      <c r="B278" s="166"/>
      <c r="C278" s="171"/>
      <c r="D278" s="67" t="s">
        <v>1568</v>
      </c>
      <c r="E278" s="68" t="s">
        <v>2074</v>
      </c>
      <c r="F278" s="68" t="s">
        <v>1542</v>
      </c>
      <c r="G278" s="69" t="s">
        <v>870</v>
      </c>
      <c r="H278" s="69" t="s">
        <v>601</v>
      </c>
      <c r="I278" s="73" t="s">
        <v>592</v>
      </c>
      <c r="J278" s="73" t="s">
        <v>1285</v>
      </c>
      <c r="K278" s="69" t="s">
        <v>1416</v>
      </c>
      <c r="L278" s="69" t="s">
        <v>2067</v>
      </c>
      <c r="M278" s="69" t="s">
        <v>566</v>
      </c>
      <c r="N278" s="69" t="s">
        <v>2067</v>
      </c>
      <c r="O278" s="69" t="s">
        <v>1436</v>
      </c>
      <c r="P278" s="69" t="s">
        <v>1542</v>
      </c>
      <c r="Q278" s="69" t="s">
        <v>39</v>
      </c>
      <c r="R278" s="69" t="s">
        <v>1542</v>
      </c>
      <c r="S278" s="69"/>
      <c r="T278" s="69"/>
      <c r="U278" s="69" t="s">
        <v>1591</v>
      </c>
      <c r="V278" s="71" t="s">
        <v>1572</v>
      </c>
      <c r="W278" s="72"/>
    </row>
    <row r="279" spans="1:23" ht="25.5" x14ac:dyDescent="0.15">
      <c r="A279" s="166"/>
      <c r="B279" s="166"/>
      <c r="C279" s="171"/>
      <c r="D279" s="67" t="s">
        <v>1568</v>
      </c>
      <c r="E279" s="68" t="s">
        <v>2040</v>
      </c>
      <c r="F279" s="68" t="s">
        <v>855</v>
      </c>
      <c r="G279" s="69" t="s">
        <v>870</v>
      </c>
      <c r="H279" s="69" t="s">
        <v>601</v>
      </c>
      <c r="I279" s="73" t="s">
        <v>592</v>
      </c>
      <c r="J279" s="73" t="s">
        <v>1285</v>
      </c>
      <c r="K279" s="69" t="s">
        <v>1416</v>
      </c>
      <c r="L279" s="69" t="s">
        <v>2067</v>
      </c>
      <c r="M279" s="69" t="s">
        <v>566</v>
      </c>
      <c r="N279" s="69" t="s">
        <v>2067</v>
      </c>
      <c r="O279" s="69" t="s">
        <v>1436</v>
      </c>
      <c r="P279" s="69" t="s">
        <v>855</v>
      </c>
      <c r="Q279" s="69" t="s">
        <v>39</v>
      </c>
      <c r="R279" s="69" t="s">
        <v>1542</v>
      </c>
      <c r="S279" s="69"/>
      <c r="T279" s="69"/>
      <c r="U279" s="69" t="s">
        <v>1591</v>
      </c>
      <c r="V279" s="71" t="s">
        <v>1572</v>
      </c>
      <c r="W279" s="72"/>
    </row>
    <row r="280" spans="1:23" ht="25.5" x14ac:dyDescent="0.15">
      <c r="A280" s="166"/>
      <c r="B280" s="166"/>
      <c r="C280" s="171"/>
      <c r="D280" s="67" t="s">
        <v>1568</v>
      </c>
      <c r="E280" s="68" t="s">
        <v>2029</v>
      </c>
      <c r="F280" s="68" t="s">
        <v>1463</v>
      </c>
      <c r="G280" s="69" t="s">
        <v>870</v>
      </c>
      <c r="H280" s="69" t="s">
        <v>601</v>
      </c>
      <c r="I280" s="73" t="s">
        <v>592</v>
      </c>
      <c r="J280" s="73" t="s">
        <v>1285</v>
      </c>
      <c r="K280" s="69" t="s">
        <v>1416</v>
      </c>
      <c r="L280" s="69" t="s">
        <v>2067</v>
      </c>
      <c r="M280" s="69" t="s">
        <v>566</v>
      </c>
      <c r="N280" s="69" t="s">
        <v>2067</v>
      </c>
      <c r="O280" s="69" t="s">
        <v>1436</v>
      </c>
      <c r="P280" s="69" t="s">
        <v>1463</v>
      </c>
      <c r="Q280" s="69" t="s">
        <v>39</v>
      </c>
      <c r="R280" s="69" t="s">
        <v>1542</v>
      </c>
      <c r="S280" s="69"/>
      <c r="T280" s="69"/>
      <c r="U280" s="69" t="s">
        <v>1591</v>
      </c>
      <c r="V280" s="71" t="s">
        <v>1572</v>
      </c>
      <c r="W280" s="72"/>
    </row>
    <row r="281" spans="1:23" ht="25.5" x14ac:dyDescent="0.15">
      <c r="A281" s="166"/>
      <c r="B281" s="166"/>
      <c r="C281" s="171"/>
      <c r="D281" s="67" t="s">
        <v>1568</v>
      </c>
      <c r="E281" s="68" t="s">
        <v>2412</v>
      </c>
      <c r="F281" s="68" t="s">
        <v>606</v>
      </c>
      <c r="G281" s="69" t="s">
        <v>870</v>
      </c>
      <c r="H281" s="69" t="s">
        <v>601</v>
      </c>
      <c r="I281" s="73" t="s">
        <v>592</v>
      </c>
      <c r="J281" s="73" t="s">
        <v>1285</v>
      </c>
      <c r="K281" s="69" t="s">
        <v>1416</v>
      </c>
      <c r="L281" s="69" t="s">
        <v>2067</v>
      </c>
      <c r="M281" s="69" t="s">
        <v>566</v>
      </c>
      <c r="N281" s="69" t="s">
        <v>2067</v>
      </c>
      <c r="O281" s="69" t="s">
        <v>1436</v>
      </c>
      <c r="P281" s="69" t="s">
        <v>606</v>
      </c>
      <c r="Q281" s="69" t="s">
        <v>39</v>
      </c>
      <c r="R281" s="69" t="s">
        <v>1542</v>
      </c>
      <c r="S281" s="69"/>
      <c r="T281" s="69"/>
      <c r="U281" s="69" t="s">
        <v>1591</v>
      </c>
      <c r="V281" s="71" t="s">
        <v>1572</v>
      </c>
      <c r="W281" s="72"/>
    </row>
    <row r="282" spans="1:23" ht="25.5" x14ac:dyDescent="0.15">
      <c r="A282" s="166"/>
      <c r="B282" s="166"/>
      <c r="C282" s="171"/>
      <c r="D282" s="67" t="s">
        <v>1568</v>
      </c>
      <c r="E282" s="68" t="s">
        <v>2081</v>
      </c>
      <c r="F282" s="68" t="s">
        <v>794</v>
      </c>
      <c r="G282" s="69" t="s">
        <v>870</v>
      </c>
      <c r="H282" s="69" t="s">
        <v>601</v>
      </c>
      <c r="I282" s="73" t="s">
        <v>592</v>
      </c>
      <c r="J282" s="73" t="s">
        <v>1285</v>
      </c>
      <c r="K282" s="69" t="s">
        <v>1416</v>
      </c>
      <c r="L282" s="69" t="s">
        <v>2067</v>
      </c>
      <c r="M282" s="69" t="s">
        <v>566</v>
      </c>
      <c r="N282" s="69" t="s">
        <v>2067</v>
      </c>
      <c r="O282" s="69" t="s">
        <v>1436</v>
      </c>
      <c r="P282" s="69" t="s">
        <v>794</v>
      </c>
      <c r="Q282" s="69" t="s">
        <v>39</v>
      </c>
      <c r="R282" s="69" t="s">
        <v>1542</v>
      </c>
      <c r="S282" s="69"/>
      <c r="T282" s="69"/>
      <c r="U282" s="69" t="s">
        <v>1591</v>
      </c>
      <c r="V282" s="71" t="s">
        <v>1572</v>
      </c>
      <c r="W282" s="72"/>
    </row>
    <row r="283" spans="1:23" ht="25.5" x14ac:dyDescent="0.15">
      <c r="A283" s="166"/>
      <c r="B283" s="166"/>
      <c r="C283" s="171" t="s">
        <v>545</v>
      </c>
      <c r="D283" s="67" t="s">
        <v>1568</v>
      </c>
      <c r="E283" s="68" t="s">
        <v>2069</v>
      </c>
      <c r="F283" s="68" t="s">
        <v>266</v>
      </c>
      <c r="G283" s="69" t="s">
        <v>593</v>
      </c>
      <c r="H283" s="69" t="s">
        <v>266</v>
      </c>
      <c r="I283" s="73" t="s">
        <v>631</v>
      </c>
      <c r="J283" s="73" t="s">
        <v>581</v>
      </c>
      <c r="K283" s="69" t="s">
        <v>667</v>
      </c>
      <c r="L283" s="69" t="s">
        <v>33</v>
      </c>
      <c r="M283" s="69" t="s">
        <v>549</v>
      </c>
      <c r="N283" s="69" t="s">
        <v>33</v>
      </c>
      <c r="O283" s="69" t="s">
        <v>637</v>
      </c>
      <c r="P283" s="69" t="s">
        <v>266</v>
      </c>
      <c r="Q283" s="69" t="s">
        <v>1494</v>
      </c>
      <c r="R283" s="69" t="s">
        <v>266</v>
      </c>
      <c r="S283" s="69"/>
      <c r="T283" s="69"/>
      <c r="U283" s="69" t="s">
        <v>1556</v>
      </c>
      <c r="V283" s="71" t="s">
        <v>1572</v>
      </c>
      <c r="W283" s="72"/>
    </row>
    <row r="284" spans="1:23" ht="38.25" x14ac:dyDescent="0.15">
      <c r="A284" s="166"/>
      <c r="B284" s="166"/>
      <c r="C284" s="171"/>
      <c r="D284" s="67" t="s">
        <v>1568</v>
      </c>
      <c r="E284" s="68" t="s">
        <v>2066</v>
      </c>
      <c r="F284" s="68" t="s">
        <v>1182</v>
      </c>
      <c r="G284" s="69" t="s">
        <v>1492</v>
      </c>
      <c r="H284" s="69" t="s">
        <v>1164</v>
      </c>
      <c r="I284" s="73" t="s">
        <v>2639</v>
      </c>
      <c r="J284" s="78" t="s">
        <v>101</v>
      </c>
      <c r="K284" s="69" t="s">
        <v>667</v>
      </c>
      <c r="L284" s="69" t="s">
        <v>33</v>
      </c>
      <c r="M284" s="69" t="s">
        <v>549</v>
      </c>
      <c r="N284" s="69" t="s">
        <v>33</v>
      </c>
      <c r="O284" s="69" t="s">
        <v>637</v>
      </c>
      <c r="P284" s="69" t="s">
        <v>1182</v>
      </c>
      <c r="Q284" s="69" t="s">
        <v>1494</v>
      </c>
      <c r="R284" s="69" t="s">
        <v>266</v>
      </c>
      <c r="S284" s="69"/>
      <c r="T284" s="69"/>
      <c r="U284" s="69" t="s">
        <v>1556</v>
      </c>
      <c r="V284" s="71" t="s">
        <v>1572</v>
      </c>
      <c r="W284" s="72"/>
    </row>
    <row r="285" spans="1:23" ht="25.5" x14ac:dyDescent="0.15">
      <c r="A285" s="166"/>
      <c r="B285" s="166"/>
      <c r="C285" s="171"/>
      <c r="D285" s="67" t="s">
        <v>1568</v>
      </c>
      <c r="E285" s="68" t="s">
        <v>2406</v>
      </c>
      <c r="F285" s="68" t="s">
        <v>1031</v>
      </c>
      <c r="G285" s="69" t="s">
        <v>1492</v>
      </c>
      <c r="H285" s="69" t="s">
        <v>1164</v>
      </c>
      <c r="I285" s="73" t="s">
        <v>865</v>
      </c>
      <c r="J285" s="78" t="s">
        <v>1154</v>
      </c>
      <c r="K285" s="69" t="s">
        <v>667</v>
      </c>
      <c r="L285" s="69" t="s">
        <v>33</v>
      </c>
      <c r="M285" s="69" t="s">
        <v>549</v>
      </c>
      <c r="N285" s="69" t="s">
        <v>33</v>
      </c>
      <c r="O285" s="69" t="s">
        <v>637</v>
      </c>
      <c r="P285" s="69" t="s">
        <v>1031</v>
      </c>
      <c r="Q285" s="69" t="s">
        <v>1494</v>
      </c>
      <c r="R285" s="69" t="s">
        <v>266</v>
      </c>
      <c r="S285" s="69"/>
      <c r="T285" s="69"/>
      <c r="U285" s="69" t="s">
        <v>1556</v>
      </c>
      <c r="V285" s="71" t="s">
        <v>1572</v>
      </c>
      <c r="W285" s="72"/>
    </row>
    <row r="286" spans="1:23" ht="25.5" x14ac:dyDescent="0.15">
      <c r="A286" s="166"/>
      <c r="B286" s="166"/>
      <c r="C286" s="171"/>
      <c r="D286" s="67" t="s">
        <v>1568</v>
      </c>
      <c r="E286" s="68" t="s">
        <v>2502</v>
      </c>
      <c r="F286" s="68" t="s">
        <v>1070</v>
      </c>
      <c r="G286" s="69" t="s">
        <v>1492</v>
      </c>
      <c r="H286" s="69" t="s">
        <v>1164</v>
      </c>
      <c r="I286" s="73" t="s">
        <v>865</v>
      </c>
      <c r="J286" s="78" t="s">
        <v>1154</v>
      </c>
      <c r="K286" s="69" t="s">
        <v>667</v>
      </c>
      <c r="L286" s="69" t="s">
        <v>33</v>
      </c>
      <c r="M286" s="69" t="s">
        <v>549</v>
      </c>
      <c r="N286" s="69" t="s">
        <v>33</v>
      </c>
      <c r="O286" s="69" t="s">
        <v>637</v>
      </c>
      <c r="P286" s="69" t="s">
        <v>1070</v>
      </c>
      <c r="Q286" s="69" t="s">
        <v>1494</v>
      </c>
      <c r="R286" s="69" t="s">
        <v>266</v>
      </c>
      <c r="S286" s="69"/>
      <c r="T286" s="69"/>
      <c r="U286" s="69" t="s">
        <v>1591</v>
      </c>
      <c r="V286" s="71" t="s">
        <v>1572</v>
      </c>
      <c r="W286" s="72"/>
    </row>
    <row r="287" spans="1:23" ht="25.5" x14ac:dyDescent="0.15">
      <c r="A287" s="166"/>
      <c r="B287" s="166"/>
      <c r="C287" s="171"/>
      <c r="D287" s="67" t="s">
        <v>1568</v>
      </c>
      <c r="E287" s="68" t="s">
        <v>2144</v>
      </c>
      <c r="F287" s="68" t="s">
        <v>1142</v>
      </c>
      <c r="G287" s="69" t="s">
        <v>1492</v>
      </c>
      <c r="H287" s="69" t="s">
        <v>1164</v>
      </c>
      <c r="I287" s="73" t="s">
        <v>865</v>
      </c>
      <c r="J287" s="78" t="s">
        <v>1154</v>
      </c>
      <c r="K287" s="69" t="s">
        <v>667</v>
      </c>
      <c r="L287" s="69" t="s">
        <v>33</v>
      </c>
      <c r="M287" s="69" t="s">
        <v>549</v>
      </c>
      <c r="N287" s="69" t="s">
        <v>33</v>
      </c>
      <c r="O287" s="69" t="s">
        <v>637</v>
      </c>
      <c r="P287" s="69" t="s">
        <v>1142</v>
      </c>
      <c r="Q287" s="69" t="s">
        <v>1494</v>
      </c>
      <c r="R287" s="69" t="s">
        <v>266</v>
      </c>
      <c r="S287" s="69"/>
      <c r="T287" s="69"/>
      <c r="U287" s="69" t="s">
        <v>1556</v>
      </c>
      <c r="V287" s="71" t="s">
        <v>1572</v>
      </c>
      <c r="W287" s="72"/>
    </row>
    <row r="288" spans="1:23" ht="51" x14ac:dyDescent="0.15">
      <c r="A288" s="166"/>
      <c r="B288" s="166"/>
      <c r="C288" s="171" t="s">
        <v>578</v>
      </c>
      <c r="D288" s="67" t="s">
        <v>1568</v>
      </c>
      <c r="E288" s="68" t="s">
        <v>1861</v>
      </c>
      <c r="F288" s="68" t="s">
        <v>664</v>
      </c>
      <c r="G288" s="69" t="s">
        <v>1539</v>
      </c>
      <c r="H288" s="69" t="s">
        <v>578</v>
      </c>
      <c r="I288" s="73" t="s">
        <v>389</v>
      </c>
      <c r="J288" s="73" t="s">
        <v>502</v>
      </c>
      <c r="K288" s="69" t="s">
        <v>219</v>
      </c>
      <c r="L288" s="69" t="s">
        <v>1133</v>
      </c>
      <c r="M288" s="69" t="s">
        <v>32</v>
      </c>
      <c r="N288" s="69" t="s">
        <v>578</v>
      </c>
      <c r="O288" s="69" t="s">
        <v>591</v>
      </c>
      <c r="P288" s="69" t="s">
        <v>664</v>
      </c>
      <c r="Q288" s="69" t="s">
        <v>807</v>
      </c>
      <c r="R288" s="69" t="s">
        <v>1249</v>
      </c>
      <c r="S288" s="69"/>
      <c r="T288" s="69"/>
      <c r="U288" s="69" t="s">
        <v>1556</v>
      </c>
      <c r="V288" s="71" t="s">
        <v>1572</v>
      </c>
      <c r="W288" s="72"/>
    </row>
    <row r="289" spans="1:23" ht="25.5" x14ac:dyDescent="0.15">
      <c r="A289" s="166"/>
      <c r="B289" s="166"/>
      <c r="C289" s="171"/>
      <c r="D289" s="67" t="s">
        <v>1568</v>
      </c>
      <c r="E289" s="68" t="s">
        <v>2160</v>
      </c>
      <c r="F289" s="68" t="s">
        <v>815</v>
      </c>
      <c r="G289" s="69" t="s">
        <v>1539</v>
      </c>
      <c r="H289" s="69" t="s">
        <v>578</v>
      </c>
      <c r="I289" s="73" t="s">
        <v>850</v>
      </c>
      <c r="J289" s="73" t="s">
        <v>2042</v>
      </c>
      <c r="K289" s="69" t="s">
        <v>231</v>
      </c>
      <c r="L289" s="69" t="s">
        <v>213</v>
      </c>
      <c r="M289" s="69" t="s">
        <v>903</v>
      </c>
      <c r="N289" s="69" t="s">
        <v>2019</v>
      </c>
      <c r="O289" s="69" t="s">
        <v>591</v>
      </c>
      <c r="P289" s="69" t="s">
        <v>815</v>
      </c>
      <c r="Q289" s="69" t="s">
        <v>807</v>
      </c>
      <c r="R289" s="69" t="s">
        <v>1249</v>
      </c>
      <c r="S289" s="69"/>
      <c r="T289" s="69"/>
      <c r="U289" s="69" t="s">
        <v>1556</v>
      </c>
      <c r="V289" s="71" t="s">
        <v>1572</v>
      </c>
      <c r="W289" s="72"/>
    </row>
    <row r="290" spans="1:23" x14ac:dyDescent="0.15">
      <c r="A290" s="166"/>
      <c r="B290" s="166"/>
      <c r="C290" s="171"/>
      <c r="D290" s="67" t="s">
        <v>1568</v>
      </c>
      <c r="E290" s="68" t="s">
        <v>2072</v>
      </c>
      <c r="F290" s="68" t="s">
        <v>835</v>
      </c>
      <c r="G290" s="69" t="s">
        <v>1539</v>
      </c>
      <c r="H290" s="69" t="s">
        <v>578</v>
      </c>
      <c r="I290" s="73" t="s">
        <v>850</v>
      </c>
      <c r="J290" s="73" t="s">
        <v>2042</v>
      </c>
      <c r="K290" s="69" t="s">
        <v>1547</v>
      </c>
      <c r="L290" s="69" t="s">
        <v>578</v>
      </c>
      <c r="M290" s="69" t="s">
        <v>32</v>
      </c>
      <c r="N290" s="69" t="s">
        <v>578</v>
      </c>
      <c r="O290" s="69" t="s">
        <v>591</v>
      </c>
      <c r="P290" s="69" t="s">
        <v>835</v>
      </c>
      <c r="Q290" s="69" t="s">
        <v>807</v>
      </c>
      <c r="R290" s="69" t="s">
        <v>1249</v>
      </c>
      <c r="S290" s="69"/>
      <c r="T290" s="69"/>
      <c r="U290" s="69" t="s">
        <v>1556</v>
      </c>
      <c r="V290" s="71" t="s">
        <v>1572</v>
      </c>
      <c r="W290" s="72"/>
    </row>
    <row r="291" spans="1:23" x14ac:dyDescent="0.15">
      <c r="A291" s="166"/>
      <c r="B291" s="166"/>
      <c r="C291" s="171"/>
      <c r="D291" s="67" t="s">
        <v>1568</v>
      </c>
      <c r="E291" s="68" t="s">
        <v>2107</v>
      </c>
      <c r="F291" s="68" t="s">
        <v>904</v>
      </c>
      <c r="G291" s="69" t="s">
        <v>1539</v>
      </c>
      <c r="H291" s="69" t="s">
        <v>578</v>
      </c>
      <c r="I291" s="73" t="s">
        <v>850</v>
      </c>
      <c r="J291" s="73" t="s">
        <v>2042</v>
      </c>
      <c r="K291" s="69" t="s">
        <v>1547</v>
      </c>
      <c r="L291" s="69" t="s">
        <v>578</v>
      </c>
      <c r="M291" s="69" t="s">
        <v>32</v>
      </c>
      <c r="N291" s="69" t="s">
        <v>578</v>
      </c>
      <c r="O291" s="69" t="s">
        <v>591</v>
      </c>
      <c r="P291" s="69" t="s">
        <v>904</v>
      </c>
      <c r="Q291" s="69" t="s">
        <v>807</v>
      </c>
      <c r="R291" s="69" t="s">
        <v>1249</v>
      </c>
      <c r="S291" s="69"/>
      <c r="T291" s="69"/>
      <c r="U291" s="69" t="s">
        <v>1556</v>
      </c>
      <c r="V291" s="71" t="s">
        <v>1572</v>
      </c>
      <c r="W291" s="72"/>
    </row>
    <row r="292" spans="1:23" ht="25.5" x14ac:dyDescent="0.15">
      <c r="A292" s="166"/>
      <c r="B292" s="166"/>
      <c r="C292" s="171"/>
      <c r="D292" s="67" t="s">
        <v>1568</v>
      </c>
      <c r="E292" s="68" t="s">
        <v>2461</v>
      </c>
      <c r="F292" s="68" t="s">
        <v>1434</v>
      </c>
      <c r="G292" s="69" t="s">
        <v>1539</v>
      </c>
      <c r="H292" s="69" t="s">
        <v>578</v>
      </c>
      <c r="I292" s="73" t="s">
        <v>850</v>
      </c>
      <c r="J292" s="73" t="s">
        <v>2042</v>
      </c>
      <c r="K292" s="69" t="s">
        <v>1547</v>
      </c>
      <c r="L292" s="69" t="s">
        <v>578</v>
      </c>
      <c r="M292" s="69" t="s">
        <v>32</v>
      </c>
      <c r="N292" s="69" t="s">
        <v>578</v>
      </c>
      <c r="O292" s="69" t="s">
        <v>591</v>
      </c>
      <c r="P292" s="69" t="s">
        <v>1434</v>
      </c>
      <c r="Q292" s="69" t="s">
        <v>807</v>
      </c>
      <c r="R292" s="69" t="s">
        <v>1249</v>
      </c>
      <c r="S292" s="69"/>
      <c r="T292" s="69"/>
      <c r="U292" s="69" t="s">
        <v>1556</v>
      </c>
      <c r="V292" s="71" t="s">
        <v>1572</v>
      </c>
      <c r="W292" s="72"/>
    </row>
    <row r="293" spans="1:23" ht="25.5" customHeight="1" x14ac:dyDescent="0.15">
      <c r="A293" s="166"/>
      <c r="B293" s="166"/>
      <c r="C293" s="171" t="s">
        <v>1183</v>
      </c>
      <c r="D293" s="67" t="s">
        <v>1568</v>
      </c>
      <c r="E293" s="68" t="s">
        <v>2115</v>
      </c>
      <c r="F293" s="68" t="s">
        <v>1244</v>
      </c>
      <c r="G293" s="69" t="s">
        <v>838</v>
      </c>
      <c r="H293" s="69" t="s">
        <v>569</v>
      </c>
      <c r="I293" s="73" t="s">
        <v>37</v>
      </c>
      <c r="J293" s="73" t="s">
        <v>288</v>
      </c>
      <c r="K293" s="69" t="s">
        <v>1504</v>
      </c>
      <c r="L293" s="69" t="s">
        <v>2481</v>
      </c>
      <c r="M293" s="69" t="s">
        <v>611</v>
      </c>
      <c r="N293" s="69" t="s">
        <v>2481</v>
      </c>
      <c r="O293" s="69" t="s">
        <v>536</v>
      </c>
      <c r="P293" s="69" t="s">
        <v>1244</v>
      </c>
      <c r="Q293" s="69" t="s">
        <v>1440</v>
      </c>
      <c r="R293" s="69" t="s">
        <v>1244</v>
      </c>
      <c r="S293" s="69"/>
      <c r="T293" s="69"/>
      <c r="U293" s="69" t="s">
        <v>1556</v>
      </c>
      <c r="V293" s="71" t="s">
        <v>1555</v>
      </c>
      <c r="W293" s="74" t="s">
        <v>766</v>
      </c>
    </row>
    <row r="294" spans="1:23" ht="25.5" x14ac:dyDescent="0.15">
      <c r="A294" s="166"/>
      <c r="B294" s="166"/>
      <c r="C294" s="171"/>
      <c r="D294" s="67" t="s">
        <v>1568</v>
      </c>
      <c r="E294" s="68" t="s">
        <v>2538</v>
      </c>
      <c r="F294" s="68" t="s">
        <v>179</v>
      </c>
      <c r="G294" s="69" t="s">
        <v>838</v>
      </c>
      <c r="H294" s="69" t="s">
        <v>569</v>
      </c>
      <c r="I294" s="73" t="s">
        <v>37</v>
      </c>
      <c r="J294" s="73" t="s">
        <v>288</v>
      </c>
      <c r="K294" s="69" t="s">
        <v>1504</v>
      </c>
      <c r="L294" s="69" t="s">
        <v>2481</v>
      </c>
      <c r="M294" s="69" t="s">
        <v>611</v>
      </c>
      <c r="N294" s="69" t="s">
        <v>2481</v>
      </c>
      <c r="O294" s="69" t="s">
        <v>536</v>
      </c>
      <c r="P294" s="69" t="s">
        <v>179</v>
      </c>
      <c r="Q294" s="69" t="s">
        <v>1440</v>
      </c>
      <c r="R294" s="69" t="s">
        <v>1244</v>
      </c>
      <c r="S294" s="69"/>
      <c r="T294" s="69"/>
      <c r="U294" s="69" t="s">
        <v>1556</v>
      </c>
      <c r="V294" s="71" t="s">
        <v>1572</v>
      </c>
      <c r="W294" s="72"/>
    </row>
    <row r="295" spans="1:23" ht="51" x14ac:dyDescent="0.15">
      <c r="A295" s="166"/>
      <c r="B295" s="166"/>
      <c r="C295" s="171"/>
      <c r="D295" s="67" t="s">
        <v>1568</v>
      </c>
      <c r="E295" s="68" t="s">
        <v>2518</v>
      </c>
      <c r="F295" s="68" t="s">
        <v>469</v>
      </c>
      <c r="G295" s="69" t="s">
        <v>838</v>
      </c>
      <c r="H295" s="69" t="s">
        <v>569</v>
      </c>
      <c r="I295" s="73" t="s">
        <v>37</v>
      </c>
      <c r="J295" s="73" t="s">
        <v>288</v>
      </c>
      <c r="K295" s="69" t="s">
        <v>1504</v>
      </c>
      <c r="L295" s="69" t="s">
        <v>2481</v>
      </c>
      <c r="M295" s="69" t="s">
        <v>611</v>
      </c>
      <c r="N295" s="69" t="s">
        <v>2481</v>
      </c>
      <c r="O295" s="69" t="s">
        <v>536</v>
      </c>
      <c r="P295" s="69" t="s">
        <v>469</v>
      </c>
      <c r="Q295" s="69" t="s">
        <v>1440</v>
      </c>
      <c r="R295" s="69" t="s">
        <v>1244</v>
      </c>
      <c r="S295" s="69"/>
      <c r="T295" s="69"/>
      <c r="U295" s="69" t="s">
        <v>1591</v>
      </c>
      <c r="V295" s="71" t="s">
        <v>1572</v>
      </c>
      <c r="W295" s="72"/>
    </row>
    <row r="296" spans="1:23" ht="38.25" x14ac:dyDescent="0.15">
      <c r="A296" s="166"/>
      <c r="B296" s="166"/>
      <c r="C296" s="171"/>
      <c r="D296" s="67" t="s">
        <v>1568</v>
      </c>
      <c r="E296" s="68" t="s">
        <v>2537</v>
      </c>
      <c r="F296" s="68" t="s">
        <v>1353</v>
      </c>
      <c r="G296" s="69" t="s">
        <v>838</v>
      </c>
      <c r="H296" s="69" t="s">
        <v>569</v>
      </c>
      <c r="I296" s="73" t="s">
        <v>37</v>
      </c>
      <c r="J296" s="73" t="s">
        <v>288</v>
      </c>
      <c r="K296" s="69" t="s">
        <v>1504</v>
      </c>
      <c r="L296" s="69" t="s">
        <v>2481</v>
      </c>
      <c r="M296" s="69" t="s">
        <v>611</v>
      </c>
      <c r="N296" s="69" t="s">
        <v>2481</v>
      </c>
      <c r="O296" s="69" t="s">
        <v>536</v>
      </c>
      <c r="P296" s="69" t="s">
        <v>1353</v>
      </c>
      <c r="Q296" s="69" t="s">
        <v>1440</v>
      </c>
      <c r="R296" s="69" t="s">
        <v>1244</v>
      </c>
      <c r="S296" s="69"/>
      <c r="T296" s="69"/>
      <c r="U296" s="69" t="s">
        <v>1591</v>
      </c>
      <c r="V296" s="71" t="s">
        <v>1572</v>
      </c>
      <c r="W296" s="72"/>
    </row>
    <row r="297" spans="1:23" ht="25.5" x14ac:dyDescent="0.15">
      <c r="A297" s="166"/>
      <c r="B297" s="166"/>
      <c r="C297" s="171"/>
      <c r="D297" s="67" t="s">
        <v>1568</v>
      </c>
      <c r="E297" s="68" t="s">
        <v>2121</v>
      </c>
      <c r="F297" s="68" t="s">
        <v>1202</v>
      </c>
      <c r="G297" s="69" t="s">
        <v>838</v>
      </c>
      <c r="H297" s="69" t="s">
        <v>569</v>
      </c>
      <c r="I297" s="73" t="s">
        <v>37</v>
      </c>
      <c r="J297" s="73" t="s">
        <v>288</v>
      </c>
      <c r="K297" s="69" t="s">
        <v>1504</v>
      </c>
      <c r="L297" s="69" t="s">
        <v>2481</v>
      </c>
      <c r="M297" s="69" t="s">
        <v>611</v>
      </c>
      <c r="N297" s="69" t="s">
        <v>2481</v>
      </c>
      <c r="O297" s="69" t="s">
        <v>642</v>
      </c>
      <c r="P297" s="69" t="s">
        <v>1202</v>
      </c>
      <c r="Q297" s="69" t="s">
        <v>839</v>
      </c>
      <c r="R297" s="69" t="s">
        <v>1202</v>
      </c>
      <c r="S297" s="69"/>
      <c r="T297" s="69"/>
      <c r="U297" s="69" t="s">
        <v>1591</v>
      </c>
      <c r="V297" s="71" t="s">
        <v>1572</v>
      </c>
      <c r="W297" s="72"/>
    </row>
    <row r="298" spans="1:23" ht="25.5" x14ac:dyDescent="0.15">
      <c r="A298" s="166"/>
      <c r="B298" s="166"/>
      <c r="C298" s="171"/>
      <c r="D298" s="67" t="s">
        <v>1568</v>
      </c>
      <c r="E298" s="68" t="s">
        <v>2108</v>
      </c>
      <c r="F298" s="68" t="s">
        <v>323</v>
      </c>
      <c r="G298" s="69" t="s">
        <v>838</v>
      </c>
      <c r="H298" s="69" t="s">
        <v>569</v>
      </c>
      <c r="I298" s="73" t="s">
        <v>37</v>
      </c>
      <c r="J298" s="73" t="s">
        <v>288</v>
      </c>
      <c r="K298" s="69" t="s">
        <v>1504</v>
      </c>
      <c r="L298" s="69" t="s">
        <v>2481</v>
      </c>
      <c r="M298" s="69" t="s">
        <v>611</v>
      </c>
      <c r="N298" s="69" t="s">
        <v>2481</v>
      </c>
      <c r="O298" s="69" t="s">
        <v>642</v>
      </c>
      <c r="P298" s="69" t="s">
        <v>323</v>
      </c>
      <c r="Q298" s="69" t="s">
        <v>839</v>
      </c>
      <c r="R298" s="69" t="s">
        <v>1202</v>
      </c>
      <c r="S298" s="69"/>
      <c r="T298" s="69"/>
      <c r="U298" s="69" t="s">
        <v>1556</v>
      </c>
      <c r="V298" s="71" t="s">
        <v>1572</v>
      </c>
      <c r="W298" s="72"/>
    </row>
    <row r="299" spans="1:23" ht="25.5" x14ac:dyDescent="0.15">
      <c r="A299" s="166"/>
      <c r="B299" s="166"/>
      <c r="C299" s="171"/>
      <c r="D299" s="67" t="s">
        <v>1568</v>
      </c>
      <c r="E299" s="68" t="s">
        <v>2025</v>
      </c>
      <c r="F299" s="68" t="s">
        <v>1111</v>
      </c>
      <c r="G299" s="69" t="s">
        <v>838</v>
      </c>
      <c r="H299" s="69" t="s">
        <v>569</v>
      </c>
      <c r="I299" s="73" t="s">
        <v>37</v>
      </c>
      <c r="J299" s="73" t="s">
        <v>288</v>
      </c>
      <c r="K299" s="69" t="s">
        <v>1504</v>
      </c>
      <c r="L299" s="69" t="s">
        <v>2481</v>
      </c>
      <c r="M299" s="69" t="s">
        <v>611</v>
      </c>
      <c r="N299" s="69" t="s">
        <v>2481</v>
      </c>
      <c r="O299" s="69" t="s">
        <v>642</v>
      </c>
      <c r="P299" s="69" t="s">
        <v>1111</v>
      </c>
      <c r="Q299" s="69" t="s">
        <v>839</v>
      </c>
      <c r="R299" s="69" t="s">
        <v>1202</v>
      </c>
      <c r="S299" s="69"/>
      <c r="T299" s="69"/>
      <c r="U299" s="69" t="s">
        <v>1591</v>
      </c>
      <c r="V299" s="71" t="s">
        <v>1572</v>
      </c>
      <c r="W299" s="72"/>
    </row>
    <row r="300" spans="1:23" ht="25.5" x14ac:dyDescent="0.15">
      <c r="A300" s="166"/>
      <c r="B300" s="166"/>
      <c r="C300" s="171"/>
      <c r="D300" s="67" t="s">
        <v>1568</v>
      </c>
      <c r="E300" s="68" t="s">
        <v>2423</v>
      </c>
      <c r="F300" s="68" t="s">
        <v>1221</v>
      </c>
      <c r="G300" s="69" t="s">
        <v>838</v>
      </c>
      <c r="H300" s="69" t="s">
        <v>569</v>
      </c>
      <c r="I300" s="73" t="s">
        <v>37</v>
      </c>
      <c r="J300" s="73" t="s">
        <v>288</v>
      </c>
      <c r="K300" s="69" t="s">
        <v>1504</v>
      </c>
      <c r="L300" s="69" t="s">
        <v>2481</v>
      </c>
      <c r="M300" s="69" t="s">
        <v>611</v>
      </c>
      <c r="N300" s="69" t="s">
        <v>2481</v>
      </c>
      <c r="O300" s="69" t="s">
        <v>642</v>
      </c>
      <c r="P300" s="69" t="s">
        <v>1221</v>
      </c>
      <c r="Q300" s="69" t="s">
        <v>839</v>
      </c>
      <c r="R300" s="69" t="s">
        <v>1202</v>
      </c>
      <c r="S300" s="69"/>
      <c r="T300" s="69"/>
      <c r="U300" s="69" t="s">
        <v>1591</v>
      </c>
      <c r="V300" s="71" t="s">
        <v>1572</v>
      </c>
      <c r="W300" s="72"/>
    </row>
    <row r="301" spans="1:23" ht="25.5" x14ac:dyDescent="0.15">
      <c r="A301" s="166"/>
      <c r="B301" s="166"/>
      <c r="C301" s="171"/>
      <c r="D301" s="67" t="s">
        <v>1568</v>
      </c>
      <c r="E301" s="68" t="s">
        <v>2136</v>
      </c>
      <c r="F301" s="68" t="s">
        <v>1299</v>
      </c>
      <c r="G301" s="69" t="s">
        <v>838</v>
      </c>
      <c r="H301" s="69" t="s">
        <v>569</v>
      </c>
      <c r="I301" s="73" t="s">
        <v>37</v>
      </c>
      <c r="J301" s="73" t="s">
        <v>288</v>
      </c>
      <c r="K301" s="69" t="s">
        <v>1504</v>
      </c>
      <c r="L301" s="69" t="s">
        <v>2481</v>
      </c>
      <c r="M301" s="69" t="s">
        <v>611</v>
      </c>
      <c r="N301" s="69" t="s">
        <v>2481</v>
      </c>
      <c r="O301" s="69" t="s">
        <v>642</v>
      </c>
      <c r="P301" s="69" t="s">
        <v>1299</v>
      </c>
      <c r="Q301" s="69" t="s">
        <v>839</v>
      </c>
      <c r="R301" s="69" t="s">
        <v>1202</v>
      </c>
      <c r="S301" s="69"/>
      <c r="T301" s="69"/>
      <c r="U301" s="69" t="s">
        <v>1591</v>
      </c>
      <c r="V301" s="71" t="s">
        <v>1572</v>
      </c>
      <c r="W301" s="72"/>
    </row>
    <row r="302" spans="1:23" ht="25.5" x14ac:dyDescent="0.15">
      <c r="A302" s="166"/>
      <c r="B302" s="166"/>
      <c r="C302" s="171"/>
      <c r="D302" s="67" t="s">
        <v>1568</v>
      </c>
      <c r="E302" s="68" t="s">
        <v>1886</v>
      </c>
      <c r="F302" s="68" t="s">
        <v>1152</v>
      </c>
      <c r="G302" s="69" t="s">
        <v>838</v>
      </c>
      <c r="H302" s="69" t="s">
        <v>569</v>
      </c>
      <c r="I302" s="73" t="s">
        <v>37</v>
      </c>
      <c r="J302" s="73" t="s">
        <v>288</v>
      </c>
      <c r="K302" s="69" t="s">
        <v>1504</v>
      </c>
      <c r="L302" s="69" t="s">
        <v>2481</v>
      </c>
      <c r="M302" s="69" t="s">
        <v>611</v>
      </c>
      <c r="N302" s="69" t="s">
        <v>2481</v>
      </c>
      <c r="O302" s="69" t="s">
        <v>642</v>
      </c>
      <c r="P302" s="69" t="s">
        <v>1152</v>
      </c>
      <c r="Q302" s="69" t="s">
        <v>839</v>
      </c>
      <c r="R302" s="69" t="s">
        <v>1202</v>
      </c>
      <c r="S302" s="69"/>
      <c r="T302" s="69"/>
      <c r="U302" s="69" t="s">
        <v>1591</v>
      </c>
      <c r="V302" s="71" t="s">
        <v>1572</v>
      </c>
      <c r="W302" s="72"/>
    </row>
    <row r="303" spans="1:23" x14ac:dyDescent="0.15">
      <c r="A303" s="166"/>
      <c r="B303" s="166"/>
      <c r="C303" s="171"/>
      <c r="D303" s="67" t="s">
        <v>1568</v>
      </c>
      <c r="E303" s="68" t="s">
        <v>2438</v>
      </c>
      <c r="F303" s="68" t="s">
        <v>1505</v>
      </c>
      <c r="G303" s="69" t="s">
        <v>527</v>
      </c>
      <c r="H303" s="69" t="s">
        <v>812</v>
      </c>
      <c r="I303" s="73" t="s">
        <v>1459</v>
      </c>
      <c r="J303" s="73" t="s">
        <v>577</v>
      </c>
      <c r="K303" s="69" t="s">
        <v>1504</v>
      </c>
      <c r="L303" s="69" t="s">
        <v>2481</v>
      </c>
      <c r="M303" s="69" t="s">
        <v>611</v>
      </c>
      <c r="N303" s="69" t="s">
        <v>2481</v>
      </c>
      <c r="O303" s="69" t="s">
        <v>1408</v>
      </c>
      <c r="P303" s="69" t="s">
        <v>1505</v>
      </c>
      <c r="Q303" s="69" t="s">
        <v>1499</v>
      </c>
      <c r="R303" s="69" t="s">
        <v>1505</v>
      </c>
      <c r="S303" s="69"/>
      <c r="T303" s="69"/>
      <c r="U303" s="69" t="s">
        <v>1556</v>
      </c>
      <c r="V303" s="71" t="s">
        <v>1572</v>
      </c>
      <c r="W303" s="72"/>
    </row>
    <row r="304" spans="1:23" x14ac:dyDescent="0.15">
      <c r="A304" s="166"/>
      <c r="B304" s="166"/>
      <c r="C304" s="171"/>
      <c r="D304" s="67" t="s">
        <v>1568</v>
      </c>
      <c r="E304" s="68" t="s">
        <v>2520</v>
      </c>
      <c r="F304" s="68" t="s">
        <v>610</v>
      </c>
      <c r="G304" s="69" t="s">
        <v>527</v>
      </c>
      <c r="H304" s="69" t="s">
        <v>812</v>
      </c>
      <c r="I304" s="73" t="s">
        <v>1459</v>
      </c>
      <c r="J304" s="73" t="s">
        <v>577</v>
      </c>
      <c r="K304" s="69" t="s">
        <v>1504</v>
      </c>
      <c r="L304" s="69" t="s">
        <v>2481</v>
      </c>
      <c r="M304" s="69" t="s">
        <v>611</v>
      </c>
      <c r="N304" s="69" t="s">
        <v>2481</v>
      </c>
      <c r="O304" s="69" t="s">
        <v>1408</v>
      </c>
      <c r="P304" s="69" t="s">
        <v>610</v>
      </c>
      <c r="Q304" s="69" t="s">
        <v>1499</v>
      </c>
      <c r="R304" s="69" t="s">
        <v>1505</v>
      </c>
      <c r="S304" s="69"/>
      <c r="T304" s="69"/>
      <c r="U304" s="69" t="s">
        <v>1556</v>
      </c>
      <c r="V304" s="71" t="s">
        <v>1572</v>
      </c>
      <c r="W304" s="72"/>
    </row>
    <row r="305" spans="1:23" x14ac:dyDescent="0.15">
      <c r="A305" s="166"/>
      <c r="B305" s="166"/>
      <c r="C305" s="171"/>
      <c r="D305" s="67" t="s">
        <v>1568</v>
      </c>
      <c r="E305" s="68" t="s">
        <v>1607</v>
      </c>
      <c r="F305" s="68" t="s">
        <v>531</v>
      </c>
      <c r="G305" s="69" t="s">
        <v>527</v>
      </c>
      <c r="H305" s="69" t="s">
        <v>812</v>
      </c>
      <c r="I305" s="73" t="s">
        <v>1459</v>
      </c>
      <c r="J305" s="73" t="s">
        <v>577</v>
      </c>
      <c r="K305" s="69" t="s">
        <v>1504</v>
      </c>
      <c r="L305" s="69" t="s">
        <v>2481</v>
      </c>
      <c r="M305" s="69" t="s">
        <v>611</v>
      </c>
      <c r="N305" s="69" t="s">
        <v>2481</v>
      </c>
      <c r="O305" s="69" t="s">
        <v>1408</v>
      </c>
      <c r="P305" s="69" t="s">
        <v>531</v>
      </c>
      <c r="Q305" s="69" t="s">
        <v>1499</v>
      </c>
      <c r="R305" s="69" t="s">
        <v>1505</v>
      </c>
      <c r="S305" s="69"/>
      <c r="T305" s="69"/>
      <c r="U305" s="69" t="s">
        <v>1556</v>
      </c>
      <c r="V305" s="71" t="s">
        <v>1572</v>
      </c>
      <c r="W305" s="72"/>
    </row>
    <row r="306" spans="1:23" x14ac:dyDescent="0.15">
      <c r="A306" s="166"/>
      <c r="B306" s="166"/>
      <c r="C306" s="171"/>
      <c r="D306" s="67" t="s">
        <v>1568</v>
      </c>
      <c r="E306" s="68" t="s">
        <v>2454</v>
      </c>
      <c r="F306" s="68" t="s">
        <v>655</v>
      </c>
      <c r="G306" s="69" t="s">
        <v>527</v>
      </c>
      <c r="H306" s="69" t="s">
        <v>812</v>
      </c>
      <c r="I306" s="73" t="s">
        <v>1459</v>
      </c>
      <c r="J306" s="73" t="s">
        <v>577</v>
      </c>
      <c r="K306" s="69" t="s">
        <v>1504</v>
      </c>
      <c r="L306" s="69" t="s">
        <v>2481</v>
      </c>
      <c r="M306" s="69" t="s">
        <v>611</v>
      </c>
      <c r="N306" s="69" t="s">
        <v>2481</v>
      </c>
      <c r="O306" s="69" t="s">
        <v>1408</v>
      </c>
      <c r="P306" s="69" t="s">
        <v>655</v>
      </c>
      <c r="Q306" s="69" t="s">
        <v>1499</v>
      </c>
      <c r="R306" s="69" t="s">
        <v>1505</v>
      </c>
      <c r="S306" s="69"/>
      <c r="T306" s="69"/>
      <c r="U306" s="69" t="s">
        <v>1556</v>
      </c>
      <c r="V306" s="71" t="s">
        <v>1572</v>
      </c>
      <c r="W306" s="72"/>
    </row>
    <row r="307" spans="1:23" ht="38.25" customHeight="1" x14ac:dyDescent="0.15">
      <c r="A307" s="166"/>
      <c r="B307" s="166"/>
      <c r="C307" s="171" t="s">
        <v>1125</v>
      </c>
      <c r="D307" s="67" t="s">
        <v>1568</v>
      </c>
      <c r="E307" s="68" t="s">
        <v>2168</v>
      </c>
      <c r="F307" s="68" t="s">
        <v>2690</v>
      </c>
      <c r="G307" s="69" t="s">
        <v>814</v>
      </c>
      <c r="H307" s="69" t="s">
        <v>1125</v>
      </c>
      <c r="I307" s="73" t="s">
        <v>1459</v>
      </c>
      <c r="J307" s="73" t="s">
        <v>577</v>
      </c>
      <c r="K307" s="69" t="s">
        <v>1416</v>
      </c>
      <c r="L307" s="69" t="s">
        <v>2067</v>
      </c>
      <c r="M307" s="69" t="s">
        <v>566</v>
      </c>
      <c r="N307" s="69" t="s">
        <v>2067</v>
      </c>
      <c r="O307" s="69" t="s">
        <v>540</v>
      </c>
      <c r="P307" s="69" t="s">
        <v>2690</v>
      </c>
      <c r="Q307" s="69" t="s">
        <v>1415</v>
      </c>
      <c r="R307" s="69" t="s">
        <v>2690</v>
      </c>
      <c r="S307" s="69"/>
      <c r="T307" s="69"/>
      <c r="U307" s="69" t="s">
        <v>1591</v>
      </c>
      <c r="V307" s="71" t="s">
        <v>1555</v>
      </c>
      <c r="W307" s="74" t="s">
        <v>766</v>
      </c>
    </row>
    <row r="308" spans="1:23" ht="38.25" x14ac:dyDescent="0.15">
      <c r="A308" s="166"/>
      <c r="B308" s="166"/>
      <c r="C308" s="171"/>
      <c r="D308" s="67" t="s">
        <v>1568</v>
      </c>
      <c r="E308" s="68" t="s">
        <v>1968</v>
      </c>
      <c r="F308" s="68" t="s">
        <v>2654</v>
      </c>
      <c r="G308" s="69" t="s">
        <v>814</v>
      </c>
      <c r="H308" s="69" t="s">
        <v>1125</v>
      </c>
      <c r="I308" s="73" t="s">
        <v>1459</v>
      </c>
      <c r="J308" s="73" t="s">
        <v>577</v>
      </c>
      <c r="K308" s="69" t="s">
        <v>1416</v>
      </c>
      <c r="L308" s="69" t="s">
        <v>2067</v>
      </c>
      <c r="M308" s="69" t="s">
        <v>566</v>
      </c>
      <c r="N308" s="69" t="s">
        <v>2067</v>
      </c>
      <c r="O308" s="69" t="s">
        <v>540</v>
      </c>
      <c r="P308" s="69" t="s">
        <v>2654</v>
      </c>
      <c r="Q308" s="69" t="s">
        <v>1415</v>
      </c>
      <c r="R308" s="69" t="s">
        <v>2690</v>
      </c>
      <c r="S308" s="69"/>
      <c r="T308" s="69"/>
      <c r="U308" s="69" t="s">
        <v>1591</v>
      </c>
      <c r="V308" s="71" t="s">
        <v>1572</v>
      </c>
      <c r="W308" s="72"/>
    </row>
    <row r="309" spans="1:23" ht="38.25" x14ac:dyDescent="0.15">
      <c r="A309" s="166"/>
      <c r="B309" s="166"/>
      <c r="C309" s="171"/>
      <c r="D309" s="67" t="s">
        <v>1568</v>
      </c>
      <c r="E309" s="68" t="s">
        <v>2531</v>
      </c>
      <c r="F309" s="68" t="s">
        <v>2643</v>
      </c>
      <c r="G309" s="69" t="s">
        <v>814</v>
      </c>
      <c r="H309" s="69" t="s">
        <v>1125</v>
      </c>
      <c r="I309" s="73" t="s">
        <v>1459</v>
      </c>
      <c r="J309" s="73" t="s">
        <v>577</v>
      </c>
      <c r="K309" s="69" t="s">
        <v>1416</v>
      </c>
      <c r="L309" s="69" t="s">
        <v>2067</v>
      </c>
      <c r="M309" s="69" t="s">
        <v>566</v>
      </c>
      <c r="N309" s="69" t="s">
        <v>2067</v>
      </c>
      <c r="O309" s="69" t="s">
        <v>540</v>
      </c>
      <c r="P309" s="69" t="s">
        <v>2643</v>
      </c>
      <c r="Q309" s="69" t="s">
        <v>1415</v>
      </c>
      <c r="R309" s="69" t="s">
        <v>2690</v>
      </c>
      <c r="S309" s="69"/>
      <c r="T309" s="69"/>
      <c r="U309" s="69" t="s">
        <v>1591</v>
      </c>
      <c r="V309" s="71" t="s">
        <v>1572</v>
      </c>
      <c r="W309" s="72"/>
    </row>
    <row r="310" spans="1:23" ht="38.25" x14ac:dyDescent="0.15">
      <c r="A310" s="166"/>
      <c r="B310" s="166"/>
      <c r="C310" s="171"/>
      <c r="D310" s="67" t="s">
        <v>1568</v>
      </c>
      <c r="E310" s="68" t="s">
        <v>2295</v>
      </c>
      <c r="F310" s="68" t="s">
        <v>2692</v>
      </c>
      <c r="G310" s="69" t="s">
        <v>814</v>
      </c>
      <c r="H310" s="69" t="s">
        <v>1125</v>
      </c>
      <c r="I310" s="73" t="s">
        <v>1459</v>
      </c>
      <c r="J310" s="73" t="s">
        <v>577</v>
      </c>
      <c r="K310" s="69" t="s">
        <v>1416</v>
      </c>
      <c r="L310" s="69" t="s">
        <v>2067</v>
      </c>
      <c r="M310" s="69" t="s">
        <v>566</v>
      </c>
      <c r="N310" s="69" t="s">
        <v>2067</v>
      </c>
      <c r="O310" s="69" t="s">
        <v>540</v>
      </c>
      <c r="P310" s="69" t="s">
        <v>2692</v>
      </c>
      <c r="Q310" s="69" t="s">
        <v>1415</v>
      </c>
      <c r="R310" s="69" t="s">
        <v>2690</v>
      </c>
      <c r="S310" s="69"/>
      <c r="T310" s="69"/>
      <c r="U310" s="69" t="s">
        <v>1591</v>
      </c>
      <c r="V310" s="71" t="s">
        <v>1572</v>
      </c>
      <c r="W310" s="72"/>
    </row>
    <row r="311" spans="1:23" ht="38.25" x14ac:dyDescent="0.15">
      <c r="A311" s="166"/>
      <c r="B311" s="166"/>
      <c r="C311" s="171"/>
      <c r="D311" s="67" t="s">
        <v>1568</v>
      </c>
      <c r="E311" s="68" t="s">
        <v>1601</v>
      </c>
      <c r="F311" s="68" t="s">
        <v>2621</v>
      </c>
      <c r="G311" s="69" t="s">
        <v>814</v>
      </c>
      <c r="H311" s="69" t="s">
        <v>1125</v>
      </c>
      <c r="I311" s="73" t="s">
        <v>1459</v>
      </c>
      <c r="J311" s="73" t="s">
        <v>577</v>
      </c>
      <c r="K311" s="69" t="s">
        <v>1416</v>
      </c>
      <c r="L311" s="69" t="s">
        <v>2067</v>
      </c>
      <c r="M311" s="69" t="s">
        <v>566</v>
      </c>
      <c r="N311" s="69" t="s">
        <v>2067</v>
      </c>
      <c r="O311" s="69" t="s">
        <v>555</v>
      </c>
      <c r="P311" s="69" t="s">
        <v>2621</v>
      </c>
      <c r="Q311" s="69" t="s">
        <v>675</v>
      </c>
      <c r="R311" s="69" t="s">
        <v>2621</v>
      </c>
      <c r="S311" s="69"/>
      <c r="T311" s="69"/>
      <c r="U311" s="69" t="s">
        <v>1591</v>
      </c>
      <c r="V311" s="71" t="s">
        <v>1572</v>
      </c>
      <c r="W311" s="72"/>
    </row>
    <row r="312" spans="1:23" ht="38.25" x14ac:dyDescent="0.15">
      <c r="A312" s="166"/>
      <c r="B312" s="166"/>
      <c r="C312" s="171"/>
      <c r="D312" s="67" t="s">
        <v>1568</v>
      </c>
      <c r="E312" s="68" t="s">
        <v>1959</v>
      </c>
      <c r="F312" s="68" t="s">
        <v>2622</v>
      </c>
      <c r="G312" s="69" t="s">
        <v>814</v>
      </c>
      <c r="H312" s="69" t="s">
        <v>1125</v>
      </c>
      <c r="I312" s="73" t="s">
        <v>1459</v>
      </c>
      <c r="J312" s="73" t="s">
        <v>577</v>
      </c>
      <c r="K312" s="69" t="s">
        <v>1416</v>
      </c>
      <c r="L312" s="69" t="s">
        <v>2067</v>
      </c>
      <c r="M312" s="69" t="s">
        <v>566</v>
      </c>
      <c r="N312" s="69" t="s">
        <v>2067</v>
      </c>
      <c r="O312" s="69" t="s">
        <v>555</v>
      </c>
      <c r="P312" s="69" t="s">
        <v>2622</v>
      </c>
      <c r="Q312" s="69" t="s">
        <v>675</v>
      </c>
      <c r="R312" s="69" t="s">
        <v>2621</v>
      </c>
      <c r="S312" s="69"/>
      <c r="T312" s="69"/>
      <c r="U312" s="69" t="s">
        <v>1591</v>
      </c>
      <c r="V312" s="71" t="s">
        <v>1572</v>
      </c>
      <c r="W312" s="72"/>
    </row>
    <row r="313" spans="1:23" ht="38.25" x14ac:dyDescent="0.15">
      <c r="A313" s="166"/>
      <c r="B313" s="166"/>
      <c r="C313" s="171"/>
      <c r="D313" s="67" t="s">
        <v>1568</v>
      </c>
      <c r="E313" s="68" t="s">
        <v>2419</v>
      </c>
      <c r="F313" s="68" t="s">
        <v>2667</v>
      </c>
      <c r="G313" s="69" t="s">
        <v>814</v>
      </c>
      <c r="H313" s="69" t="s">
        <v>1125</v>
      </c>
      <c r="I313" s="73" t="s">
        <v>1459</v>
      </c>
      <c r="J313" s="73" t="s">
        <v>577</v>
      </c>
      <c r="K313" s="69" t="s">
        <v>1416</v>
      </c>
      <c r="L313" s="69" t="s">
        <v>2067</v>
      </c>
      <c r="M313" s="69" t="s">
        <v>566</v>
      </c>
      <c r="N313" s="69" t="s">
        <v>2067</v>
      </c>
      <c r="O313" s="69" t="s">
        <v>555</v>
      </c>
      <c r="P313" s="69" t="s">
        <v>2667</v>
      </c>
      <c r="Q313" s="69" t="s">
        <v>675</v>
      </c>
      <c r="R313" s="69" t="s">
        <v>2621</v>
      </c>
      <c r="S313" s="69"/>
      <c r="T313" s="69"/>
      <c r="U313" s="69" t="s">
        <v>1591</v>
      </c>
      <c r="V313" s="71" t="s">
        <v>1572</v>
      </c>
      <c r="W313" s="72"/>
    </row>
    <row r="314" spans="1:23" ht="38.25" x14ac:dyDescent="0.15">
      <c r="A314" s="166"/>
      <c r="B314" s="167"/>
      <c r="C314" s="171"/>
      <c r="D314" s="67" t="s">
        <v>1568</v>
      </c>
      <c r="E314" s="68" t="s">
        <v>2447</v>
      </c>
      <c r="F314" s="68" t="s">
        <v>2681</v>
      </c>
      <c r="G314" s="69" t="s">
        <v>814</v>
      </c>
      <c r="H314" s="69" t="s">
        <v>1125</v>
      </c>
      <c r="I314" s="73" t="s">
        <v>1459</v>
      </c>
      <c r="J314" s="73" t="s">
        <v>577</v>
      </c>
      <c r="K314" s="69" t="s">
        <v>1416</v>
      </c>
      <c r="L314" s="69" t="s">
        <v>2067</v>
      </c>
      <c r="M314" s="69" t="s">
        <v>566</v>
      </c>
      <c r="N314" s="69" t="s">
        <v>2067</v>
      </c>
      <c r="O314" s="69" t="s">
        <v>555</v>
      </c>
      <c r="P314" s="69" t="s">
        <v>2681</v>
      </c>
      <c r="Q314" s="69" t="s">
        <v>675</v>
      </c>
      <c r="R314" s="69" t="s">
        <v>2621</v>
      </c>
      <c r="S314" s="69"/>
      <c r="T314" s="69"/>
      <c r="U314" s="69" t="s">
        <v>1591</v>
      </c>
      <c r="V314" s="71" t="s">
        <v>1572</v>
      </c>
      <c r="W314" s="72"/>
    </row>
    <row r="315" spans="1:23" ht="25.5" customHeight="1" x14ac:dyDescent="0.15">
      <c r="A315" s="166"/>
      <c r="B315" s="165" t="s">
        <v>1350</v>
      </c>
      <c r="C315" s="171" t="s">
        <v>1401</v>
      </c>
      <c r="D315" s="67" t="s">
        <v>1568</v>
      </c>
      <c r="E315" s="68" t="s">
        <v>2039</v>
      </c>
      <c r="F315" s="68" t="s">
        <v>1101</v>
      </c>
      <c r="G315" s="69" t="s">
        <v>678</v>
      </c>
      <c r="H315" s="69" t="s">
        <v>1101</v>
      </c>
      <c r="I315" s="73" t="s">
        <v>1450</v>
      </c>
      <c r="J315" s="73" t="s">
        <v>2584</v>
      </c>
      <c r="K315" s="69" t="s">
        <v>1503</v>
      </c>
      <c r="L315" s="69" t="s">
        <v>2584</v>
      </c>
      <c r="M315" s="69" t="s">
        <v>869</v>
      </c>
      <c r="N315" s="69" t="s">
        <v>2584</v>
      </c>
      <c r="O315" s="69" t="s">
        <v>615</v>
      </c>
      <c r="P315" s="69" t="s">
        <v>1101</v>
      </c>
      <c r="Q315" s="69" t="s">
        <v>50</v>
      </c>
      <c r="R315" s="69" t="s">
        <v>1101</v>
      </c>
      <c r="S315" s="69"/>
      <c r="T315" s="69"/>
      <c r="U315" s="69" t="s">
        <v>1556</v>
      </c>
      <c r="V315" s="71" t="s">
        <v>1555</v>
      </c>
      <c r="W315" s="74" t="s">
        <v>766</v>
      </c>
    </row>
    <row r="316" spans="1:23" ht="25.5" x14ac:dyDescent="0.15">
      <c r="A316" s="166"/>
      <c r="B316" s="166"/>
      <c r="C316" s="171"/>
      <c r="D316" s="67" t="s">
        <v>1568</v>
      </c>
      <c r="E316" s="68" t="s">
        <v>2101</v>
      </c>
      <c r="F316" s="68" t="s">
        <v>1292</v>
      </c>
      <c r="G316" s="69" t="s">
        <v>678</v>
      </c>
      <c r="H316" s="69" t="s">
        <v>1101</v>
      </c>
      <c r="I316" s="73" t="s">
        <v>1450</v>
      </c>
      <c r="J316" s="73" t="s">
        <v>2584</v>
      </c>
      <c r="K316" s="69" t="s">
        <v>1503</v>
      </c>
      <c r="L316" s="69" t="s">
        <v>2584</v>
      </c>
      <c r="M316" s="69" t="s">
        <v>869</v>
      </c>
      <c r="N316" s="69" t="s">
        <v>2584</v>
      </c>
      <c r="O316" s="69" t="s">
        <v>615</v>
      </c>
      <c r="P316" s="69" t="s">
        <v>1292</v>
      </c>
      <c r="Q316" s="69" t="s">
        <v>50</v>
      </c>
      <c r="R316" s="69" t="s">
        <v>1101</v>
      </c>
      <c r="S316" s="69"/>
      <c r="T316" s="69"/>
      <c r="U316" s="69" t="s">
        <v>1556</v>
      </c>
      <c r="V316" s="71" t="s">
        <v>1572</v>
      </c>
      <c r="W316" s="72"/>
    </row>
    <row r="317" spans="1:23" ht="25.5" x14ac:dyDescent="0.15">
      <c r="A317" s="166"/>
      <c r="B317" s="166"/>
      <c r="C317" s="171"/>
      <c r="D317" s="67" t="s">
        <v>1568</v>
      </c>
      <c r="E317" s="68" t="s">
        <v>2497</v>
      </c>
      <c r="F317" s="68" t="s">
        <v>301</v>
      </c>
      <c r="G317" s="69" t="s">
        <v>678</v>
      </c>
      <c r="H317" s="69" t="s">
        <v>1101</v>
      </c>
      <c r="I317" s="73" t="s">
        <v>1450</v>
      </c>
      <c r="J317" s="73" t="s">
        <v>2584</v>
      </c>
      <c r="K317" s="69" t="s">
        <v>1503</v>
      </c>
      <c r="L317" s="69" t="s">
        <v>2584</v>
      </c>
      <c r="M317" s="69" t="s">
        <v>869</v>
      </c>
      <c r="N317" s="69" t="s">
        <v>2584</v>
      </c>
      <c r="O317" s="69" t="s">
        <v>615</v>
      </c>
      <c r="P317" s="69" t="s">
        <v>301</v>
      </c>
      <c r="Q317" s="69" t="s">
        <v>50</v>
      </c>
      <c r="R317" s="69" t="s">
        <v>1101</v>
      </c>
      <c r="S317" s="69"/>
      <c r="T317" s="69"/>
      <c r="U317" s="69" t="s">
        <v>1556</v>
      </c>
      <c r="V317" s="71" t="s">
        <v>1572</v>
      </c>
      <c r="W317" s="72"/>
    </row>
    <row r="318" spans="1:23" ht="25.5" x14ac:dyDescent="0.15">
      <c r="A318" s="166"/>
      <c r="B318" s="166"/>
      <c r="C318" s="171"/>
      <c r="D318" s="67" t="s">
        <v>1568</v>
      </c>
      <c r="E318" s="68" t="s">
        <v>2432</v>
      </c>
      <c r="F318" s="68" t="s">
        <v>215</v>
      </c>
      <c r="G318" s="69" t="s">
        <v>678</v>
      </c>
      <c r="H318" s="69" t="s">
        <v>1101</v>
      </c>
      <c r="I318" s="73" t="s">
        <v>1450</v>
      </c>
      <c r="J318" s="73" t="s">
        <v>2584</v>
      </c>
      <c r="K318" s="69" t="s">
        <v>1503</v>
      </c>
      <c r="L318" s="69" t="s">
        <v>2584</v>
      </c>
      <c r="M318" s="69" t="s">
        <v>869</v>
      </c>
      <c r="N318" s="69" t="s">
        <v>2584</v>
      </c>
      <c r="O318" s="69" t="s">
        <v>615</v>
      </c>
      <c r="P318" s="69" t="s">
        <v>215</v>
      </c>
      <c r="Q318" s="69" t="s">
        <v>50</v>
      </c>
      <c r="R318" s="69" t="s">
        <v>1101</v>
      </c>
      <c r="S318" s="69"/>
      <c r="T318" s="69"/>
      <c r="U318" s="69" t="s">
        <v>1556</v>
      </c>
      <c r="V318" s="71" t="s">
        <v>1572</v>
      </c>
      <c r="W318" s="72"/>
    </row>
    <row r="319" spans="1:23" ht="25.5" x14ac:dyDescent="0.15">
      <c r="A319" s="166"/>
      <c r="B319" s="166"/>
      <c r="C319" s="171"/>
      <c r="D319" s="67" t="s">
        <v>1568</v>
      </c>
      <c r="E319" s="68" t="s">
        <v>2474</v>
      </c>
      <c r="F319" s="68" t="s">
        <v>277</v>
      </c>
      <c r="G319" s="69" t="s">
        <v>678</v>
      </c>
      <c r="H319" s="69" t="s">
        <v>1101</v>
      </c>
      <c r="I319" s="73" t="s">
        <v>1450</v>
      </c>
      <c r="J319" s="73" t="s">
        <v>2584</v>
      </c>
      <c r="K319" s="69" t="s">
        <v>1503</v>
      </c>
      <c r="L319" s="69" t="s">
        <v>2584</v>
      </c>
      <c r="M319" s="69" t="s">
        <v>869</v>
      </c>
      <c r="N319" s="69" t="s">
        <v>2584</v>
      </c>
      <c r="O319" s="69" t="s">
        <v>615</v>
      </c>
      <c r="P319" s="69" t="s">
        <v>277</v>
      </c>
      <c r="Q319" s="69" t="s">
        <v>50</v>
      </c>
      <c r="R319" s="69" t="s">
        <v>1101</v>
      </c>
      <c r="S319" s="69"/>
      <c r="T319" s="69"/>
      <c r="U319" s="69" t="s">
        <v>1556</v>
      </c>
      <c r="V319" s="71" t="s">
        <v>1572</v>
      </c>
      <c r="W319" s="72"/>
    </row>
    <row r="320" spans="1:23" ht="25.5" x14ac:dyDescent="0.15">
      <c r="A320" s="166"/>
      <c r="B320" s="166"/>
      <c r="C320" s="171"/>
      <c r="D320" s="67" t="s">
        <v>1568</v>
      </c>
      <c r="E320" s="68" t="s">
        <v>2388</v>
      </c>
      <c r="F320" s="68" t="s">
        <v>252</v>
      </c>
      <c r="G320" s="69" t="s">
        <v>678</v>
      </c>
      <c r="H320" s="69" t="s">
        <v>1101</v>
      </c>
      <c r="I320" s="73" t="s">
        <v>1450</v>
      </c>
      <c r="J320" s="73" t="s">
        <v>2584</v>
      </c>
      <c r="K320" s="69" t="s">
        <v>1503</v>
      </c>
      <c r="L320" s="69" t="s">
        <v>2584</v>
      </c>
      <c r="M320" s="69" t="s">
        <v>869</v>
      </c>
      <c r="N320" s="69" t="s">
        <v>2584</v>
      </c>
      <c r="O320" s="69" t="s">
        <v>615</v>
      </c>
      <c r="P320" s="69" t="s">
        <v>252</v>
      </c>
      <c r="Q320" s="69" t="s">
        <v>50</v>
      </c>
      <c r="R320" s="69" t="s">
        <v>1101</v>
      </c>
      <c r="S320" s="69"/>
      <c r="T320" s="69"/>
      <c r="U320" s="69" t="s">
        <v>1556</v>
      </c>
      <c r="V320" s="71" t="s">
        <v>1572</v>
      </c>
      <c r="W320" s="72"/>
    </row>
    <row r="321" spans="1:23" ht="25.5" x14ac:dyDescent="0.15">
      <c r="A321" s="166"/>
      <c r="B321" s="166"/>
      <c r="C321" s="171"/>
      <c r="D321" s="67" t="s">
        <v>1568</v>
      </c>
      <c r="E321" s="68" t="s">
        <v>2441</v>
      </c>
      <c r="F321" s="68" t="s">
        <v>154</v>
      </c>
      <c r="G321" s="69" t="s">
        <v>678</v>
      </c>
      <c r="H321" s="69" t="s">
        <v>1101</v>
      </c>
      <c r="I321" s="73" t="s">
        <v>1450</v>
      </c>
      <c r="J321" s="73" t="s">
        <v>2584</v>
      </c>
      <c r="K321" s="69" t="s">
        <v>1503</v>
      </c>
      <c r="L321" s="69" t="s">
        <v>2584</v>
      </c>
      <c r="M321" s="69" t="s">
        <v>869</v>
      </c>
      <c r="N321" s="69" t="s">
        <v>2584</v>
      </c>
      <c r="O321" s="69" t="s">
        <v>615</v>
      </c>
      <c r="P321" s="69" t="s">
        <v>154</v>
      </c>
      <c r="Q321" s="69" t="s">
        <v>50</v>
      </c>
      <c r="R321" s="69" t="s">
        <v>1101</v>
      </c>
      <c r="S321" s="69"/>
      <c r="T321" s="69"/>
      <c r="U321" s="69" t="s">
        <v>1556</v>
      </c>
      <c r="V321" s="71" t="s">
        <v>1572</v>
      </c>
      <c r="W321" s="72"/>
    </row>
    <row r="322" spans="1:23" ht="25.5" x14ac:dyDescent="0.15">
      <c r="A322" s="166"/>
      <c r="B322" s="166"/>
      <c r="C322" s="171"/>
      <c r="D322" s="67" t="s">
        <v>1568</v>
      </c>
      <c r="E322" s="68" t="s">
        <v>2499</v>
      </c>
      <c r="F322" s="68" t="s">
        <v>264</v>
      </c>
      <c r="G322" s="69" t="s">
        <v>678</v>
      </c>
      <c r="H322" s="69" t="s">
        <v>1101</v>
      </c>
      <c r="I322" s="73" t="s">
        <v>1450</v>
      </c>
      <c r="J322" s="73" t="s">
        <v>2584</v>
      </c>
      <c r="K322" s="69" t="s">
        <v>1503</v>
      </c>
      <c r="L322" s="69" t="s">
        <v>2584</v>
      </c>
      <c r="M322" s="69" t="s">
        <v>869</v>
      </c>
      <c r="N322" s="69" t="s">
        <v>2584</v>
      </c>
      <c r="O322" s="69" t="s">
        <v>615</v>
      </c>
      <c r="P322" s="69" t="s">
        <v>264</v>
      </c>
      <c r="Q322" s="69" t="s">
        <v>50</v>
      </c>
      <c r="R322" s="69" t="s">
        <v>1101</v>
      </c>
      <c r="S322" s="69"/>
      <c r="T322" s="69"/>
      <c r="U322" s="69" t="s">
        <v>1556</v>
      </c>
      <c r="V322" s="71" t="s">
        <v>1572</v>
      </c>
      <c r="W322" s="72"/>
    </row>
    <row r="323" spans="1:23" ht="38.25" customHeight="1" x14ac:dyDescent="0.15">
      <c r="A323" s="166"/>
      <c r="B323" s="166"/>
      <c r="C323" s="171" t="s">
        <v>2648</v>
      </c>
      <c r="D323" s="67" t="s">
        <v>1568</v>
      </c>
      <c r="E323" s="68" t="s">
        <v>2018</v>
      </c>
      <c r="F323" s="68" t="s">
        <v>2635</v>
      </c>
      <c r="G323" s="69" t="s">
        <v>634</v>
      </c>
      <c r="H323" s="69" t="s">
        <v>1149</v>
      </c>
      <c r="I323" s="73" t="s">
        <v>1501</v>
      </c>
      <c r="J323" s="73" t="s">
        <v>568</v>
      </c>
      <c r="K323" s="69" t="s">
        <v>667</v>
      </c>
      <c r="L323" s="69" t="s">
        <v>33</v>
      </c>
      <c r="M323" s="69" t="s">
        <v>549</v>
      </c>
      <c r="N323" s="69" t="s">
        <v>33</v>
      </c>
      <c r="O323" s="69" t="s">
        <v>823</v>
      </c>
      <c r="P323" s="69" t="s">
        <v>2635</v>
      </c>
      <c r="Q323" s="69" t="s">
        <v>803</v>
      </c>
      <c r="R323" s="69" t="s">
        <v>2635</v>
      </c>
      <c r="S323" s="69"/>
      <c r="T323" s="69"/>
      <c r="U323" s="69" t="s">
        <v>1556</v>
      </c>
      <c r="V323" s="71" t="s">
        <v>1572</v>
      </c>
      <c r="W323" s="72"/>
    </row>
    <row r="324" spans="1:23" ht="25.5" x14ac:dyDescent="0.15">
      <c r="A324" s="166"/>
      <c r="B324" s="166"/>
      <c r="C324" s="171"/>
      <c r="D324" s="67" t="s">
        <v>1568</v>
      </c>
      <c r="E324" s="68" t="s">
        <v>2451</v>
      </c>
      <c r="F324" s="68" t="s">
        <v>1113</v>
      </c>
      <c r="G324" s="69" t="s">
        <v>634</v>
      </c>
      <c r="H324" s="69" t="s">
        <v>1149</v>
      </c>
      <c r="I324" s="73" t="s">
        <v>1501</v>
      </c>
      <c r="J324" s="73" t="s">
        <v>568</v>
      </c>
      <c r="K324" s="69" t="s">
        <v>667</v>
      </c>
      <c r="L324" s="69" t="s">
        <v>33</v>
      </c>
      <c r="M324" s="69" t="s">
        <v>549</v>
      </c>
      <c r="N324" s="69" t="s">
        <v>33</v>
      </c>
      <c r="O324" s="69" t="s">
        <v>1508</v>
      </c>
      <c r="P324" s="69" t="s">
        <v>1113</v>
      </c>
      <c r="Q324" s="69" t="s">
        <v>554</v>
      </c>
      <c r="R324" s="69" t="s">
        <v>1146</v>
      </c>
      <c r="S324" s="69"/>
      <c r="T324" s="69"/>
      <c r="U324" s="69" t="s">
        <v>1556</v>
      </c>
      <c r="V324" s="71" t="s">
        <v>1572</v>
      </c>
      <c r="W324" s="72"/>
    </row>
    <row r="325" spans="1:23" ht="25.5" x14ac:dyDescent="0.15">
      <c r="A325" s="166"/>
      <c r="B325" s="166"/>
      <c r="C325" s="171"/>
      <c r="D325" s="67" t="s">
        <v>1568</v>
      </c>
      <c r="E325" s="68" t="s">
        <v>2106</v>
      </c>
      <c r="F325" s="68" t="s">
        <v>757</v>
      </c>
      <c r="G325" s="69" t="s">
        <v>634</v>
      </c>
      <c r="H325" s="69" t="s">
        <v>1149</v>
      </c>
      <c r="I325" s="73" t="s">
        <v>1501</v>
      </c>
      <c r="J325" s="73" t="s">
        <v>568</v>
      </c>
      <c r="K325" s="69" t="s">
        <v>667</v>
      </c>
      <c r="L325" s="69" t="s">
        <v>33</v>
      </c>
      <c r="M325" s="69" t="s">
        <v>549</v>
      </c>
      <c r="N325" s="69" t="s">
        <v>33</v>
      </c>
      <c r="O325" s="69" t="s">
        <v>1508</v>
      </c>
      <c r="P325" s="69" t="s">
        <v>757</v>
      </c>
      <c r="Q325" s="69" t="s">
        <v>554</v>
      </c>
      <c r="R325" s="69" t="s">
        <v>1146</v>
      </c>
      <c r="S325" s="69"/>
      <c r="T325" s="69"/>
      <c r="U325" s="69" t="s">
        <v>1556</v>
      </c>
      <c r="V325" s="71" t="s">
        <v>1572</v>
      </c>
      <c r="W325" s="72"/>
    </row>
    <row r="326" spans="1:23" ht="25.5" x14ac:dyDescent="0.15">
      <c r="A326" s="166"/>
      <c r="B326" s="166"/>
      <c r="C326" s="171"/>
      <c r="D326" s="67" t="s">
        <v>1568</v>
      </c>
      <c r="E326" s="68" t="s">
        <v>2281</v>
      </c>
      <c r="F326" s="68" t="s">
        <v>1317</v>
      </c>
      <c r="G326" s="69" t="s">
        <v>634</v>
      </c>
      <c r="H326" s="69" t="s">
        <v>1149</v>
      </c>
      <c r="I326" s="73" t="s">
        <v>1501</v>
      </c>
      <c r="J326" s="73" t="s">
        <v>568</v>
      </c>
      <c r="K326" s="69" t="s">
        <v>667</v>
      </c>
      <c r="L326" s="69" t="s">
        <v>33</v>
      </c>
      <c r="M326" s="69" t="s">
        <v>549</v>
      </c>
      <c r="N326" s="69" t="s">
        <v>33</v>
      </c>
      <c r="O326" s="69" t="s">
        <v>1508</v>
      </c>
      <c r="P326" s="69" t="s">
        <v>1317</v>
      </c>
      <c r="Q326" s="69" t="s">
        <v>554</v>
      </c>
      <c r="R326" s="69" t="s">
        <v>1146</v>
      </c>
      <c r="S326" s="69"/>
      <c r="T326" s="69"/>
      <c r="U326" s="69" t="s">
        <v>1556</v>
      </c>
      <c r="V326" s="71" t="s">
        <v>1572</v>
      </c>
      <c r="W326" s="72"/>
    </row>
    <row r="327" spans="1:23" ht="25.5" x14ac:dyDescent="0.15">
      <c r="A327" s="166"/>
      <c r="B327" s="166"/>
      <c r="C327" s="171"/>
      <c r="D327" s="67" t="s">
        <v>1568</v>
      </c>
      <c r="E327" s="68" t="s">
        <v>2479</v>
      </c>
      <c r="F327" s="68" t="s">
        <v>1191</v>
      </c>
      <c r="G327" s="69" t="s">
        <v>634</v>
      </c>
      <c r="H327" s="69" t="s">
        <v>1149</v>
      </c>
      <c r="I327" s="73" t="s">
        <v>1501</v>
      </c>
      <c r="J327" s="73" t="s">
        <v>568</v>
      </c>
      <c r="K327" s="69" t="s">
        <v>667</v>
      </c>
      <c r="L327" s="69" t="s">
        <v>33</v>
      </c>
      <c r="M327" s="69" t="s">
        <v>549</v>
      </c>
      <c r="N327" s="69" t="s">
        <v>33</v>
      </c>
      <c r="O327" s="69" t="s">
        <v>1508</v>
      </c>
      <c r="P327" s="69" t="s">
        <v>1191</v>
      </c>
      <c r="Q327" s="69" t="s">
        <v>554</v>
      </c>
      <c r="R327" s="69" t="s">
        <v>1146</v>
      </c>
      <c r="S327" s="69"/>
      <c r="T327" s="69"/>
      <c r="U327" s="69" t="s">
        <v>1556</v>
      </c>
      <c r="V327" s="71" t="s">
        <v>1572</v>
      </c>
      <c r="W327" s="72"/>
    </row>
    <row r="328" spans="1:23" ht="25.5" x14ac:dyDescent="0.15">
      <c r="A328" s="166"/>
      <c r="B328" s="166"/>
      <c r="C328" s="171"/>
      <c r="D328" s="67" t="s">
        <v>1568</v>
      </c>
      <c r="E328" s="68" t="s">
        <v>2463</v>
      </c>
      <c r="F328" s="68" t="s">
        <v>1171</v>
      </c>
      <c r="G328" s="69" t="s">
        <v>634</v>
      </c>
      <c r="H328" s="69" t="s">
        <v>1149</v>
      </c>
      <c r="I328" s="73" t="s">
        <v>1501</v>
      </c>
      <c r="J328" s="73" t="s">
        <v>568</v>
      </c>
      <c r="K328" s="69" t="s">
        <v>667</v>
      </c>
      <c r="L328" s="69" t="s">
        <v>33</v>
      </c>
      <c r="M328" s="69" t="s">
        <v>549</v>
      </c>
      <c r="N328" s="69" t="s">
        <v>33</v>
      </c>
      <c r="O328" s="69" t="s">
        <v>1508</v>
      </c>
      <c r="P328" s="69" t="s">
        <v>1171</v>
      </c>
      <c r="Q328" s="69" t="s">
        <v>554</v>
      </c>
      <c r="R328" s="69" t="s">
        <v>1146</v>
      </c>
      <c r="S328" s="69"/>
      <c r="T328" s="69"/>
      <c r="U328" s="69" t="s">
        <v>1556</v>
      </c>
      <c r="V328" s="71" t="s">
        <v>1572</v>
      </c>
      <c r="W328" s="72"/>
    </row>
    <row r="329" spans="1:23" ht="25.5" x14ac:dyDescent="0.15">
      <c r="A329" s="166"/>
      <c r="B329" s="166"/>
      <c r="C329" s="171"/>
      <c r="D329" s="67" t="s">
        <v>1568</v>
      </c>
      <c r="E329" s="68" t="s">
        <v>1651</v>
      </c>
      <c r="F329" s="68" t="s">
        <v>1214</v>
      </c>
      <c r="G329" s="69" t="s">
        <v>634</v>
      </c>
      <c r="H329" s="69" t="s">
        <v>1149</v>
      </c>
      <c r="I329" s="73" t="s">
        <v>1501</v>
      </c>
      <c r="J329" s="73" t="s">
        <v>568</v>
      </c>
      <c r="K329" s="69" t="s">
        <v>667</v>
      </c>
      <c r="L329" s="69" t="s">
        <v>33</v>
      </c>
      <c r="M329" s="69" t="s">
        <v>549</v>
      </c>
      <c r="N329" s="69" t="s">
        <v>33</v>
      </c>
      <c r="O329" s="69" t="s">
        <v>1508</v>
      </c>
      <c r="P329" s="69" t="s">
        <v>1214</v>
      </c>
      <c r="Q329" s="69" t="s">
        <v>554</v>
      </c>
      <c r="R329" s="69" t="s">
        <v>1146</v>
      </c>
      <c r="S329" s="69"/>
      <c r="T329" s="69"/>
      <c r="U329" s="69" t="s">
        <v>1556</v>
      </c>
      <c r="V329" s="71" t="s">
        <v>1572</v>
      </c>
      <c r="W329" s="72"/>
    </row>
    <row r="330" spans="1:23" ht="25.5" x14ac:dyDescent="0.15">
      <c r="A330" s="166"/>
      <c r="B330" s="166"/>
      <c r="C330" s="171"/>
      <c r="D330" s="67" t="s">
        <v>1568</v>
      </c>
      <c r="E330" s="68" t="s">
        <v>2448</v>
      </c>
      <c r="F330" s="68" t="s">
        <v>1217</v>
      </c>
      <c r="G330" s="69" t="s">
        <v>634</v>
      </c>
      <c r="H330" s="69" t="s">
        <v>1149</v>
      </c>
      <c r="I330" s="73" t="s">
        <v>1501</v>
      </c>
      <c r="J330" s="73" t="s">
        <v>568</v>
      </c>
      <c r="K330" s="69" t="s">
        <v>667</v>
      </c>
      <c r="L330" s="69" t="s">
        <v>33</v>
      </c>
      <c r="M330" s="69" t="s">
        <v>549</v>
      </c>
      <c r="N330" s="69" t="s">
        <v>33</v>
      </c>
      <c r="O330" s="69" t="s">
        <v>1508</v>
      </c>
      <c r="P330" s="69" t="s">
        <v>1217</v>
      </c>
      <c r="Q330" s="69" t="s">
        <v>554</v>
      </c>
      <c r="R330" s="69" t="s">
        <v>1146</v>
      </c>
      <c r="S330" s="69"/>
      <c r="T330" s="69"/>
      <c r="U330" s="69" t="s">
        <v>1556</v>
      </c>
      <c r="V330" s="71" t="s">
        <v>1572</v>
      </c>
      <c r="W330" s="72"/>
    </row>
    <row r="331" spans="1:23" ht="25.5" x14ac:dyDescent="0.15">
      <c r="A331" s="166"/>
      <c r="B331" s="166"/>
      <c r="C331" s="171"/>
      <c r="D331" s="67" t="s">
        <v>1568</v>
      </c>
      <c r="E331" s="68" t="s">
        <v>2512</v>
      </c>
      <c r="F331" s="68" t="s">
        <v>759</v>
      </c>
      <c r="G331" s="69" t="s">
        <v>634</v>
      </c>
      <c r="H331" s="69" t="s">
        <v>1149</v>
      </c>
      <c r="I331" s="73" t="s">
        <v>1501</v>
      </c>
      <c r="J331" s="73" t="s">
        <v>568</v>
      </c>
      <c r="K331" s="69" t="s">
        <v>667</v>
      </c>
      <c r="L331" s="69" t="s">
        <v>33</v>
      </c>
      <c r="M331" s="69" t="s">
        <v>549</v>
      </c>
      <c r="N331" s="69" t="s">
        <v>33</v>
      </c>
      <c r="O331" s="69" t="s">
        <v>1508</v>
      </c>
      <c r="P331" s="69" t="s">
        <v>759</v>
      </c>
      <c r="Q331" s="69" t="s">
        <v>554</v>
      </c>
      <c r="R331" s="69" t="s">
        <v>1146</v>
      </c>
      <c r="S331" s="69"/>
      <c r="T331" s="69"/>
      <c r="U331" s="69" t="s">
        <v>1556</v>
      </c>
      <c r="V331" s="71" t="s">
        <v>1572</v>
      </c>
      <c r="W331" s="72"/>
    </row>
    <row r="332" spans="1:23" ht="25.5" x14ac:dyDescent="0.15">
      <c r="A332" s="166"/>
      <c r="B332" s="166"/>
      <c r="C332" s="171"/>
      <c r="D332" s="67" t="s">
        <v>1568</v>
      </c>
      <c r="E332" s="68" t="s">
        <v>2471</v>
      </c>
      <c r="F332" s="68" t="s">
        <v>1143</v>
      </c>
      <c r="G332" s="69" t="s">
        <v>634</v>
      </c>
      <c r="H332" s="69" t="s">
        <v>1149</v>
      </c>
      <c r="I332" s="73" t="s">
        <v>1501</v>
      </c>
      <c r="J332" s="73" t="s">
        <v>568</v>
      </c>
      <c r="K332" s="69" t="s">
        <v>667</v>
      </c>
      <c r="L332" s="69" t="s">
        <v>33</v>
      </c>
      <c r="M332" s="69" t="s">
        <v>549</v>
      </c>
      <c r="N332" s="69" t="s">
        <v>33</v>
      </c>
      <c r="O332" s="69" t="s">
        <v>1508</v>
      </c>
      <c r="P332" s="69" t="s">
        <v>1143</v>
      </c>
      <c r="Q332" s="69" t="s">
        <v>554</v>
      </c>
      <c r="R332" s="69" t="s">
        <v>1146</v>
      </c>
      <c r="S332" s="69"/>
      <c r="T332" s="69"/>
      <c r="U332" s="69" t="s">
        <v>1556</v>
      </c>
      <c r="V332" s="71" t="s">
        <v>1572</v>
      </c>
      <c r="W332" s="72"/>
    </row>
    <row r="333" spans="1:23" ht="25.5" x14ac:dyDescent="0.15">
      <c r="A333" s="166"/>
      <c r="B333" s="166"/>
      <c r="C333" s="171"/>
      <c r="D333" s="67" t="s">
        <v>1568</v>
      </c>
      <c r="E333" s="68" t="s">
        <v>2469</v>
      </c>
      <c r="F333" s="68" t="s">
        <v>1276</v>
      </c>
      <c r="G333" s="69" t="s">
        <v>634</v>
      </c>
      <c r="H333" s="69" t="s">
        <v>1149</v>
      </c>
      <c r="I333" s="73" t="s">
        <v>1501</v>
      </c>
      <c r="J333" s="73" t="s">
        <v>568</v>
      </c>
      <c r="K333" s="69" t="s">
        <v>667</v>
      </c>
      <c r="L333" s="69" t="s">
        <v>33</v>
      </c>
      <c r="M333" s="69" t="s">
        <v>549</v>
      </c>
      <c r="N333" s="69" t="s">
        <v>33</v>
      </c>
      <c r="O333" s="69" t="s">
        <v>1508</v>
      </c>
      <c r="P333" s="69" t="s">
        <v>1276</v>
      </c>
      <c r="Q333" s="69" t="s">
        <v>554</v>
      </c>
      <c r="R333" s="69" t="s">
        <v>1146</v>
      </c>
      <c r="S333" s="69"/>
      <c r="T333" s="69"/>
      <c r="U333" s="69" t="s">
        <v>1556</v>
      </c>
      <c r="V333" s="71" t="s">
        <v>1572</v>
      </c>
      <c r="W333" s="72"/>
    </row>
    <row r="334" spans="1:23" ht="25.5" x14ac:dyDescent="0.15">
      <c r="A334" s="166"/>
      <c r="B334" s="166"/>
      <c r="C334" s="171"/>
      <c r="D334" s="67" t="s">
        <v>1568</v>
      </c>
      <c r="E334" s="68" t="s">
        <v>2480</v>
      </c>
      <c r="F334" s="68" t="s">
        <v>1278</v>
      </c>
      <c r="G334" s="69" t="s">
        <v>634</v>
      </c>
      <c r="H334" s="69" t="s">
        <v>1149</v>
      </c>
      <c r="I334" s="73" t="s">
        <v>1501</v>
      </c>
      <c r="J334" s="73" t="s">
        <v>568</v>
      </c>
      <c r="K334" s="69" t="s">
        <v>667</v>
      </c>
      <c r="L334" s="69" t="s">
        <v>33</v>
      </c>
      <c r="M334" s="69" t="s">
        <v>549</v>
      </c>
      <c r="N334" s="69" t="s">
        <v>33</v>
      </c>
      <c r="O334" s="69" t="s">
        <v>1508</v>
      </c>
      <c r="P334" s="69" t="s">
        <v>1278</v>
      </c>
      <c r="Q334" s="69" t="s">
        <v>554</v>
      </c>
      <c r="R334" s="69" t="s">
        <v>1146</v>
      </c>
      <c r="S334" s="69"/>
      <c r="T334" s="69"/>
      <c r="U334" s="69" t="s">
        <v>1556</v>
      </c>
      <c r="V334" s="71" t="s">
        <v>1572</v>
      </c>
      <c r="W334" s="72"/>
    </row>
    <row r="335" spans="1:23" ht="25.5" x14ac:dyDescent="0.15">
      <c r="A335" s="166"/>
      <c r="B335" s="166"/>
      <c r="C335" s="171"/>
      <c r="D335" s="67" t="s">
        <v>1568</v>
      </c>
      <c r="E335" s="68" t="s">
        <v>2394</v>
      </c>
      <c r="F335" s="68" t="s">
        <v>1295</v>
      </c>
      <c r="G335" s="69" t="s">
        <v>634</v>
      </c>
      <c r="H335" s="69" t="s">
        <v>1149</v>
      </c>
      <c r="I335" s="73" t="s">
        <v>1501</v>
      </c>
      <c r="J335" s="73" t="s">
        <v>568</v>
      </c>
      <c r="K335" s="69" t="s">
        <v>667</v>
      </c>
      <c r="L335" s="69" t="s">
        <v>33</v>
      </c>
      <c r="M335" s="69" t="s">
        <v>549</v>
      </c>
      <c r="N335" s="69" t="s">
        <v>33</v>
      </c>
      <c r="O335" s="69" t="s">
        <v>1508</v>
      </c>
      <c r="P335" s="69" t="s">
        <v>1295</v>
      </c>
      <c r="Q335" s="69" t="s">
        <v>554</v>
      </c>
      <c r="R335" s="69" t="s">
        <v>1146</v>
      </c>
      <c r="S335" s="69"/>
      <c r="T335" s="69"/>
      <c r="U335" s="69" t="s">
        <v>1556</v>
      </c>
      <c r="V335" s="71" t="s">
        <v>1572</v>
      </c>
      <c r="W335" s="72"/>
    </row>
    <row r="336" spans="1:23" ht="25.5" x14ac:dyDescent="0.15">
      <c r="A336" s="166"/>
      <c r="B336" s="166"/>
      <c r="C336" s="171"/>
      <c r="D336" s="67" t="s">
        <v>1568</v>
      </c>
      <c r="E336" s="68" t="s">
        <v>2508</v>
      </c>
      <c r="F336" s="68" t="s">
        <v>1150</v>
      </c>
      <c r="G336" s="69" t="s">
        <v>634</v>
      </c>
      <c r="H336" s="69" t="s">
        <v>1149</v>
      </c>
      <c r="I336" s="73" t="s">
        <v>1501</v>
      </c>
      <c r="J336" s="73" t="s">
        <v>568</v>
      </c>
      <c r="K336" s="69" t="s">
        <v>667</v>
      </c>
      <c r="L336" s="69" t="s">
        <v>33</v>
      </c>
      <c r="M336" s="69" t="s">
        <v>549</v>
      </c>
      <c r="N336" s="69" t="s">
        <v>33</v>
      </c>
      <c r="O336" s="69" t="s">
        <v>1508</v>
      </c>
      <c r="P336" s="69" t="s">
        <v>1150</v>
      </c>
      <c r="Q336" s="69" t="s">
        <v>554</v>
      </c>
      <c r="R336" s="69" t="s">
        <v>1146</v>
      </c>
      <c r="S336" s="69"/>
      <c r="T336" s="69"/>
      <c r="U336" s="69" t="s">
        <v>1556</v>
      </c>
      <c r="V336" s="71" t="s">
        <v>1572</v>
      </c>
      <c r="W336" s="72"/>
    </row>
    <row r="337" spans="1:23" ht="25.5" x14ac:dyDescent="0.15">
      <c r="A337" s="166"/>
      <c r="B337" s="166"/>
      <c r="C337" s="171"/>
      <c r="D337" s="67" t="s">
        <v>1568</v>
      </c>
      <c r="E337" s="68" t="s">
        <v>2472</v>
      </c>
      <c r="F337" s="68" t="s">
        <v>1219</v>
      </c>
      <c r="G337" s="69" t="s">
        <v>634</v>
      </c>
      <c r="H337" s="69" t="s">
        <v>1149</v>
      </c>
      <c r="I337" s="73" t="s">
        <v>1501</v>
      </c>
      <c r="J337" s="73" t="s">
        <v>568</v>
      </c>
      <c r="K337" s="69" t="s">
        <v>667</v>
      </c>
      <c r="L337" s="69" t="s">
        <v>33</v>
      </c>
      <c r="M337" s="69" t="s">
        <v>549</v>
      </c>
      <c r="N337" s="69" t="s">
        <v>33</v>
      </c>
      <c r="O337" s="69" t="s">
        <v>1508</v>
      </c>
      <c r="P337" s="69" t="s">
        <v>1219</v>
      </c>
      <c r="Q337" s="69" t="s">
        <v>554</v>
      </c>
      <c r="R337" s="69" t="s">
        <v>1146</v>
      </c>
      <c r="S337" s="69"/>
      <c r="T337" s="69"/>
      <c r="U337" s="69" t="s">
        <v>1556</v>
      </c>
      <c r="V337" s="71" t="s">
        <v>1572</v>
      </c>
      <c r="W337" s="72"/>
    </row>
    <row r="338" spans="1:23" ht="25.5" x14ac:dyDescent="0.15">
      <c r="A338" s="166"/>
      <c r="B338" s="166"/>
      <c r="C338" s="171"/>
      <c r="D338" s="67" t="s">
        <v>1568</v>
      </c>
      <c r="E338" s="68" t="s">
        <v>2043</v>
      </c>
      <c r="F338" s="68" t="s">
        <v>741</v>
      </c>
      <c r="G338" s="69" t="s">
        <v>634</v>
      </c>
      <c r="H338" s="69" t="s">
        <v>1149</v>
      </c>
      <c r="I338" s="73" t="s">
        <v>1501</v>
      </c>
      <c r="J338" s="73" t="s">
        <v>568</v>
      </c>
      <c r="K338" s="69" t="s">
        <v>667</v>
      </c>
      <c r="L338" s="69" t="s">
        <v>33</v>
      </c>
      <c r="M338" s="69" t="s">
        <v>549</v>
      </c>
      <c r="N338" s="69" t="s">
        <v>33</v>
      </c>
      <c r="O338" s="69" t="s">
        <v>1508</v>
      </c>
      <c r="P338" s="69" t="s">
        <v>741</v>
      </c>
      <c r="Q338" s="69" t="s">
        <v>554</v>
      </c>
      <c r="R338" s="69" t="s">
        <v>1146</v>
      </c>
      <c r="S338" s="69"/>
      <c r="T338" s="69"/>
      <c r="U338" s="69" t="s">
        <v>1556</v>
      </c>
      <c r="V338" s="71" t="s">
        <v>1572</v>
      </c>
      <c r="W338" s="72"/>
    </row>
    <row r="339" spans="1:23" ht="25.5" x14ac:dyDescent="0.15">
      <c r="A339" s="166"/>
      <c r="B339" s="166"/>
      <c r="C339" s="171"/>
      <c r="D339" s="67" t="s">
        <v>1568</v>
      </c>
      <c r="E339" s="68" t="s">
        <v>2452</v>
      </c>
      <c r="F339" s="68" t="s">
        <v>1319</v>
      </c>
      <c r="G339" s="69" t="s">
        <v>634</v>
      </c>
      <c r="H339" s="69" t="s">
        <v>1149</v>
      </c>
      <c r="I339" s="73" t="s">
        <v>1501</v>
      </c>
      <c r="J339" s="73" t="s">
        <v>568</v>
      </c>
      <c r="K339" s="69" t="s">
        <v>667</v>
      </c>
      <c r="L339" s="69" t="s">
        <v>33</v>
      </c>
      <c r="M339" s="69" t="s">
        <v>549</v>
      </c>
      <c r="N339" s="69" t="s">
        <v>33</v>
      </c>
      <c r="O339" s="69" t="s">
        <v>1508</v>
      </c>
      <c r="P339" s="69" t="s">
        <v>1319</v>
      </c>
      <c r="Q339" s="69" t="s">
        <v>554</v>
      </c>
      <c r="R339" s="69" t="s">
        <v>1146</v>
      </c>
      <c r="S339" s="69"/>
      <c r="T339" s="69"/>
      <c r="U339" s="69" t="s">
        <v>1556</v>
      </c>
      <c r="V339" s="71" t="s">
        <v>1572</v>
      </c>
      <c r="W339" s="72"/>
    </row>
    <row r="340" spans="1:23" ht="25.5" x14ac:dyDescent="0.15">
      <c r="A340" s="166"/>
      <c r="B340" s="166"/>
      <c r="C340" s="171"/>
      <c r="D340" s="67" t="s">
        <v>1568</v>
      </c>
      <c r="E340" s="68" t="s">
        <v>2443</v>
      </c>
      <c r="F340" s="68" t="s">
        <v>1184</v>
      </c>
      <c r="G340" s="69" t="s">
        <v>634</v>
      </c>
      <c r="H340" s="69" t="s">
        <v>1149</v>
      </c>
      <c r="I340" s="73" t="s">
        <v>1501</v>
      </c>
      <c r="J340" s="73" t="s">
        <v>568</v>
      </c>
      <c r="K340" s="69" t="s">
        <v>667</v>
      </c>
      <c r="L340" s="69" t="s">
        <v>33</v>
      </c>
      <c r="M340" s="69" t="s">
        <v>549</v>
      </c>
      <c r="N340" s="69" t="s">
        <v>33</v>
      </c>
      <c r="O340" s="69" t="s">
        <v>1508</v>
      </c>
      <c r="P340" s="69" t="s">
        <v>1184</v>
      </c>
      <c r="Q340" s="69" t="s">
        <v>554</v>
      </c>
      <c r="R340" s="69" t="s">
        <v>1146</v>
      </c>
      <c r="S340" s="69"/>
      <c r="T340" s="69"/>
      <c r="U340" s="69" t="s">
        <v>1556</v>
      </c>
      <c r="V340" s="71" t="s">
        <v>1572</v>
      </c>
      <c r="W340" s="72"/>
    </row>
    <row r="341" spans="1:23" ht="25.5" x14ac:dyDescent="0.15">
      <c r="A341" s="166"/>
      <c r="B341" s="166"/>
      <c r="C341" s="171"/>
      <c r="D341" s="67" t="s">
        <v>1568</v>
      </c>
      <c r="E341" s="68" t="s">
        <v>2525</v>
      </c>
      <c r="F341" s="68" t="s">
        <v>1205</v>
      </c>
      <c r="G341" s="69" t="s">
        <v>634</v>
      </c>
      <c r="H341" s="69" t="s">
        <v>1149</v>
      </c>
      <c r="I341" s="73" t="s">
        <v>1501</v>
      </c>
      <c r="J341" s="73" t="s">
        <v>568</v>
      </c>
      <c r="K341" s="69" t="s">
        <v>667</v>
      </c>
      <c r="L341" s="69" t="s">
        <v>33</v>
      </c>
      <c r="M341" s="69" t="s">
        <v>549</v>
      </c>
      <c r="N341" s="69" t="s">
        <v>33</v>
      </c>
      <c r="O341" s="69" t="s">
        <v>1508</v>
      </c>
      <c r="P341" s="69" t="s">
        <v>1205</v>
      </c>
      <c r="Q341" s="69" t="s">
        <v>554</v>
      </c>
      <c r="R341" s="69" t="s">
        <v>1146</v>
      </c>
      <c r="S341" s="69"/>
      <c r="T341" s="69"/>
      <c r="U341" s="69" t="s">
        <v>1556</v>
      </c>
      <c r="V341" s="71" t="s">
        <v>1572</v>
      </c>
      <c r="W341" s="72"/>
    </row>
    <row r="342" spans="1:23" ht="25.5" x14ac:dyDescent="0.15">
      <c r="A342" s="166"/>
      <c r="B342" s="166"/>
      <c r="C342" s="171"/>
      <c r="D342" s="67" t="s">
        <v>1568</v>
      </c>
      <c r="E342" s="68" t="s">
        <v>2475</v>
      </c>
      <c r="F342" s="68" t="s">
        <v>754</v>
      </c>
      <c r="G342" s="69" t="s">
        <v>634</v>
      </c>
      <c r="H342" s="69" t="s">
        <v>1149</v>
      </c>
      <c r="I342" s="73" t="s">
        <v>1501</v>
      </c>
      <c r="J342" s="73" t="s">
        <v>568</v>
      </c>
      <c r="K342" s="69" t="s">
        <v>667</v>
      </c>
      <c r="L342" s="69" t="s">
        <v>33</v>
      </c>
      <c r="M342" s="69" t="s">
        <v>549</v>
      </c>
      <c r="N342" s="69" t="s">
        <v>33</v>
      </c>
      <c r="O342" s="69" t="s">
        <v>1508</v>
      </c>
      <c r="P342" s="69" t="s">
        <v>754</v>
      </c>
      <c r="Q342" s="69" t="s">
        <v>554</v>
      </c>
      <c r="R342" s="69" t="s">
        <v>1146</v>
      </c>
      <c r="S342" s="69"/>
      <c r="T342" s="69"/>
      <c r="U342" s="69" t="s">
        <v>1556</v>
      </c>
      <c r="V342" s="71" t="s">
        <v>1572</v>
      </c>
      <c r="W342" s="72"/>
    </row>
    <row r="343" spans="1:23" ht="25.5" x14ac:dyDescent="0.15">
      <c r="A343" s="166"/>
      <c r="B343" s="166"/>
      <c r="C343" s="171"/>
      <c r="D343" s="67" t="s">
        <v>1568</v>
      </c>
      <c r="E343" s="68" t="s">
        <v>2486</v>
      </c>
      <c r="F343" s="68" t="s">
        <v>1215</v>
      </c>
      <c r="G343" s="69" t="s">
        <v>634</v>
      </c>
      <c r="H343" s="69" t="s">
        <v>1149</v>
      </c>
      <c r="I343" s="73" t="s">
        <v>1501</v>
      </c>
      <c r="J343" s="73" t="s">
        <v>568</v>
      </c>
      <c r="K343" s="69" t="s">
        <v>667</v>
      </c>
      <c r="L343" s="69" t="s">
        <v>33</v>
      </c>
      <c r="M343" s="69" t="s">
        <v>549</v>
      </c>
      <c r="N343" s="69" t="s">
        <v>33</v>
      </c>
      <c r="O343" s="69" t="s">
        <v>1508</v>
      </c>
      <c r="P343" s="69" t="s">
        <v>1215</v>
      </c>
      <c r="Q343" s="69" t="s">
        <v>554</v>
      </c>
      <c r="R343" s="69" t="s">
        <v>1146</v>
      </c>
      <c r="S343" s="69"/>
      <c r="T343" s="69"/>
      <c r="U343" s="69" t="s">
        <v>1556</v>
      </c>
      <c r="V343" s="71" t="s">
        <v>1572</v>
      </c>
      <c r="W343" s="72"/>
    </row>
    <row r="344" spans="1:23" ht="25.5" x14ac:dyDescent="0.15">
      <c r="A344" s="166"/>
      <c r="B344" s="166"/>
      <c r="C344" s="171"/>
      <c r="D344" s="67" t="s">
        <v>1568</v>
      </c>
      <c r="E344" s="68" t="s">
        <v>2424</v>
      </c>
      <c r="F344" s="68" t="s">
        <v>1044</v>
      </c>
      <c r="G344" s="69" t="s">
        <v>634</v>
      </c>
      <c r="H344" s="69" t="s">
        <v>1149</v>
      </c>
      <c r="I344" s="73" t="s">
        <v>1501</v>
      </c>
      <c r="J344" s="73" t="s">
        <v>568</v>
      </c>
      <c r="K344" s="69" t="s">
        <v>667</v>
      </c>
      <c r="L344" s="69" t="s">
        <v>33</v>
      </c>
      <c r="M344" s="69" t="s">
        <v>549</v>
      </c>
      <c r="N344" s="69" t="s">
        <v>33</v>
      </c>
      <c r="O344" s="69" t="s">
        <v>1508</v>
      </c>
      <c r="P344" s="69" t="s">
        <v>1044</v>
      </c>
      <c r="Q344" s="69" t="s">
        <v>554</v>
      </c>
      <c r="R344" s="69" t="s">
        <v>1146</v>
      </c>
      <c r="S344" s="69"/>
      <c r="T344" s="69"/>
      <c r="U344" s="69" t="s">
        <v>1556</v>
      </c>
      <c r="V344" s="71" t="s">
        <v>1572</v>
      </c>
      <c r="W344" s="72"/>
    </row>
    <row r="345" spans="1:23" ht="25.5" x14ac:dyDescent="0.15">
      <c r="A345" s="166"/>
      <c r="B345" s="166"/>
      <c r="C345" s="171"/>
      <c r="D345" s="67" t="s">
        <v>1568</v>
      </c>
      <c r="E345" s="68" t="s">
        <v>2450</v>
      </c>
      <c r="F345" s="68" t="s">
        <v>1232</v>
      </c>
      <c r="G345" s="69" t="s">
        <v>634</v>
      </c>
      <c r="H345" s="69" t="s">
        <v>1149</v>
      </c>
      <c r="I345" s="73" t="s">
        <v>1501</v>
      </c>
      <c r="J345" s="73" t="s">
        <v>568</v>
      </c>
      <c r="K345" s="69" t="s">
        <v>667</v>
      </c>
      <c r="L345" s="69" t="s">
        <v>33</v>
      </c>
      <c r="M345" s="69" t="s">
        <v>549</v>
      </c>
      <c r="N345" s="69" t="s">
        <v>33</v>
      </c>
      <c r="O345" s="69" t="s">
        <v>1508</v>
      </c>
      <c r="P345" s="69" t="s">
        <v>1232</v>
      </c>
      <c r="Q345" s="69" t="s">
        <v>554</v>
      </c>
      <c r="R345" s="69" t="s">
        <v>1146</v>
      </c>
      <c r="S345" s="69"/>
      <c r="T345" s="69"/>
      <c r="U345" s="69" t="s">
        <v>1556</v>
      </c>
      <c r="V345" s="71" t="s">
        <v>1572</v>
      </c>
      <c r="W345" s="72"/>
    </row>
    <row r="346" spans="1:23" ht="25.5" x14ac:dyDescent="0.15">
      <c r="A346" s="166"/>
      <c r="B346" s="166"/>
      <c r="C346" s="171"/>
      <c r="D346" s="67" t="s">
        <v>1568</v>
      </c>
      <c r="E346" s="68" t="s">
        <v>2400</v>
      </c>
      <c r="F346" s="68" t="s">
        <v>1282</v>
      </c>
      <c r="G346" s="69" t="s">
        <v>634</v>
      </c>
      <c r="H346" s="69" t="s">
        <v>1149</v>
      </c>
      <c r="I346" s="73" t="s">
        <v>1501</v>
      </c>
      <c r="J346" s="73" t="s">
        <v>568</v>
      </c>
      <c r="K346" s="69" t="s">
        <v>667</v>
      </c>
      <c r="L346" s="69" t="s">
        <v>33</v>
      </c>
      <c r="M346" s="69" t="s">
        <v>549</v>
      </c>
      <c r="N346" s="69" t="s">
        <v>33</v>
      </c>
      <c r="O346" s="69" t="s">
        <v>1508</v>
      </c>
      <c r="P346" s="69" t="s">
        <v>1282</v>
      </c>
      <c r="Q346" s="69" t="s">
        <v>554</v>
      </c>
      <c r="R346" s="69" t="s">
        <v>1146</v>
      </c>
      <c r="S346" s="69"/>
      <c r="T346" s="69"/>
      <c r="U346" s="69" t="s">
        <v>1556</v>
      </c>
      <c r="V346" s="71" t="s">
        <v>1572</v>
      </c>
      <c r="W346" s="72"/>
    </row>
    <row r="347" spans="1:23" ht="25.5" x14ac:dyDescent="0.15">
      <c r="A347" s="166"/>
      <c r="B347" s="166"/>
      <c r="C347" s="171"/>
      <c r="D347" s="67" t="s">
        <v>1568</v>
      </c>
      <c r="E347" s="68" t="s">
        <v>1917</v>
      </c>
      <c r="F347" s="68" t="s">
        <v>1327</v>
      </c>
      <c r="G347" s="69" t="s">
        <v>634</v>
      </c>
      <c r="H347" s="69" t="s">
        <v>1149</v>
      </c>
      <c r="I347" s="73" t="s">
        <v>1501</v>
      </c>
      <c r="J347" s="73" t="s">
        <v>568</v>
      </c>
      <c r="K347" s="69" t="s">
        <v>667</v>
      </c>
      <c r="L347" s="69" t="s">
        <v>33</v>
      </c>
      <c r="M347" s="69" t="s">
        <v>549</v>
      </c>
      <c r="N347" s="69" t="s">
        <v>33</v>
      </c>
      <c r="O347" s="69" t="s">
        <v>1508</v>
      </c>
      <c r="P347" s="69" t="s">
        <v>1327</v>
      </c>
      <c r="Q347" s="69" t="s">
        <v>554</v>
      </c>
      <c r="R347" s="69" t="s">
        <v>1146</v>
      </c>
      <c r="S347" s="69"/>
      <c r="T347" s="69"/>
      <c r="U347" s="69" t="s">
        <v>1556</v>
      </c>
      <c r="V347" s="71" t="s">
        <v>1572</v>
      </c>
      <c r="W347" s="72"/>
    </row>
    <row r="348" spans="1:23" ht="51" x14ac:dyDescent="0.15">
      <c r="A348" s="166"/>
      <c r="B348" s="166"/>
      <c r="C348" s="171"/>
      <c r="D348" s="67" t="s">
        <v>1568</v>
      </c>
      <c r="E348" s="68" t="s">
        <v>2398</v>
      </c>
      <c r="F348" s="68" t="s">
        <v>1364</v>
      </c>
      <c r="G348" s="69" t="s">
        <v>562</v>
      </c>
      <c r="H348" s="69" t="s">
        <v>1071</v>
      </c>
      <c r="I348" s="73" t="s">
        <v>1501</v>
      </c>
      <c r="J348" s="73" t="s">
        <v>568</v>
      </c>
      <c r="K348" s="69" t="s">
        <v>667</v>
      </c>
      <c r="L348" s="69" t="s">
        <v>33</v>
      </c>
      <c r="M348" s="69" t="s">
        <v>549</v>
      </c>
      <c r="N348" s="69" t="s">
        <v>33</v>
      </c>
      <c r="O348" s="69" t="s">
        <v>657</v>
      </c>
      <c r="P348" s="69" t="s">
        <v>1364</v>
      </c>
      <c r="Q348" s="69" t="s">
        <v>842</v>
      </c>
      <c r="R348" s="69" t="s">
        <v>1360</v>
      </c>
      <c r="S348" s="69"/>
      <c r="T348" s="69"/>
      <c r="U348" s="69" t="s">
        <v>1556</v>
      </c>
      <c r="V348" s="71" t="s">
        <v>1572</v>
      </c>
      <c r="W348" s="72"/>
    </row>
    <row r="349" spans="1:23" ht="51" x14ac:dyDescent="0.15">
      <c r="A349" s="166"/>
      <c r="B349" s="166"/>
      <c r="C349" s="171"/>
      <c r="D349" s="67" t="s">
        <v>1568</v>
      </c>
      <c r="E349" s="68" t="s">
        <v>2476</v>
      </c>
      <c r="F349" s="68" t="s">
        <v>1358</v>
      </c>
      <c r="G349" s="69" t="s">
        <v>562</v>
      </c>
      <c r="H349" s="69" t="s">
        <v>1071</v>
      </c>
      <c r="I349" s="73" t="s">
        <v>1501</v>
      </c>
      <c r="J349" s="73" t="s">
        <v>568</v>
      </c>
      <c r="K349" s="69" t="s">
        <v>667</v>
      </c>
      <c r="L349" s="69" t="s">
        <v>33</v>
      </c>
      <c r="M349" s="69" t="s">
        <v>549</v>
      </c>
      <c r="N349" s="69" t="s">
        <v>33</v>
      </c>
      <c r="O349" s="69" t="s">
        <v>657</v>
      </c>
      <c r="P349" s="69" t="s">
        <v>1358</v>
      </c>
      <c r="Q349" s="69" t="s">
        <v>842</v>
      </c>
      <c r="R349" s="69" t="s">
        <v>1360</v>
      </c>
      <c r="S349" s="69"/>
      <c r="T349" s="69"/>
      <c r="U349" s="69" t="s">
        <v>1556</v>
      </c>
      <c r="V349" s="71" t="s">
        <v>1572</v>
      </c>
      <c r="W349" s="72"/>
    </row>
    <row r="350" spans="1:23" ht="51" x14ac:dyDescent="0.15">
      <c r="A350" s="166"/>
      <c r="B350" s="166"/>
      <c r="C350" s="171"/>
      <c r="D350" s="67" t="s">
        <v>1568</v>
      </c>
      <c r="E350" s="68" t="s">
        <v>2484</v>
      </c>
      <c r="F350" s="68" t="s">
        <v>1355</v>
      </c>
      <c r="G350" s="69" t="s">
        <v>562</v>
      </c>
      <c r="H350" s="69" t="s">
        <v>1071</v>
      </c>
      <c r="I350" s="73" t="s">
        <v>1501</v>
      </c>
      <c r="J350" s="73" t="s">
        <v>568</v>
      </c>
      <c r="K350" s="69" t="s">
        <v>667</v>
      </c>
      <c r="L350" s="69" t="s">
        <v>33</v>
      </c>
      <c r="M350" s="69" t="s">
        <v>549</v>
      </c>
      <c r="N350" s="69" t="s">
        <v>33</v>
      </c>
      <c r="O350" s="69" t="s">
        <v>657</v>
      </c>
      <c r="P350" s="69" t="s">
        <v>1355</v>
      </c>
      <c r="Q350" s="69" t="s">
        <v>842</v>
      </c>
      <c r="R350" s="69" t="s">
        <v>1360</v>
      </c>
      <c r="S350" s="69"/>
      <c r="T350" s="69"/>
      <c r="U350" s="69" t="s">
        <v>1556</v>
      </c>
      <c r="V350" s="71" t="s">
        <v>1572</v>
      </c>
      <c r="W350" s="72"/>
    </row>
    <row r="351" spans="1:23" ht="51" x14ac:dyDescent="0.15">
      <c r="A351" s="166"/>
      <c r="B351" s="166"/>
      <c r="C351" s="171"/>
      <c r="D351" s="67" t="s">
        <v>1568</v>
      </c>
      <c r="E351" s="68" t="s">
        <v>2483</v>
      </c>
      <c r="F351" s="68" t="s">
        <v>1368</v>
      </c>
      <c r="G351" s="69" t="s">
        <v>562</v>
      </c>
      <c r="H351" s="69" t="s">
        <v>1071</v>
      </c>
      <c r="I351" s="73" t="s">
        <v>1501</v>
      </c>
      <c r="J351" s="73" t="s">
        <v>568</v>
      </c>
      <c r="K351" s="69" t="s">
        <v>667</v>
      </c>
      <c r="L351" s="69" t="s">
        <v>33</v>
      </c>
      <c r="M351" s="69" t="s">
        <v>549</v>
      </c>
      <c r="N351" s="69" t="s">
        <v>33</v>
      </c>
      <c r="O351" s="69" t="s">
        <v>657</v>
      </c>
      <c r="P351" s="69" t="s">
        <v>1368</v>
      </c>
      <c r="Q351" s="69" t="s">
        <v>842</v>
      </c>
      <c r="R351" s="69" t="s">
        <v>1360</v>
      </c>
      <c r="S351" s="69"/>
      <c r="T351" s="69"/>
      <c r="U351" s="69" t="s">
        <v>1556</v>
      </c>
      <c r="V351" s="71" t="s">
        <v>1572</v>
      </c>
      <c r="W351" s="72"/>
    </row>
    <row r="352" spans="1:23" ht="51" x14ac:dyDescent="0.15">
      <c r="A352" s="166"/>
      <c r="B352" s="166"/>
      <c r="C352" s="171"/>
      <c r="D352" s="67" t="s">
        <v>1568</v>
      </c>
      <c r="E352" s="68" t="s">
        <v>2449</v>
      </c>
      <c r="F352" s="68" t="s">
        <v>1369</v>
      </c>
      <c r="G352" s="69" t="s">
        <v>562</v>
      </c>
      <c r="H352" s="69" t="s">
        <v>1071</v>
      </c>
      <c r="I352" s="73" t="s">
        <v>1501</v>
      </c>
      <c r="J352" s="73" t="s">
        <v>568</v>
      </c>
      <c r="K352" s="69" t="s">
        <v>667</v>
      </c>
      <c r="L352" s="69" t="s">
        <v>33</v>
      </c>
      <c r="M352" s="69" t="s">
        <v>549</v>
      </c>
      <c r="N352" s="69" t="s">
        <v>33</v>
      </c>
      <c r="O352" s="69" t="s">
        <v>657</v>
      </c>
      <c r="P352" s="69" t="s">
        <v>1369</v>
      </c>
      <c r="Q352" s="69" t="s">
        <v>842</v>
      </c>
      <c r="R352" s="69" t="s">
        <v>1360</v>
      </c>
      <c r="S352" s="69"/>
      <c r="T352" s="69"/>
      <c r="U352" s="69" t="s">
        <v>1556</v>
      </c>
      <c r="V352" s="71" t="s">
        <v>1572</v>
      </c>
      <c r="W352" s="72"/>
    </row>
    <row r="353" spans="1:23" ht="51" x14ac:dyDescent="0.15">
      <c r="A353" s="166"/>
      <c r="B353" s="166"/>
      <c r="C353" s="171"/>
      <c r="D353" s="67" t="s">
        <v>1568</v>
      </c>
      <c r="E353" s="68" t="s">
        <v>2494</v>
      </c>
      <c r="F353" s="68" t="s">
        <v>1336</v>
      </c>
      <c r="G353" s="69" t="s">
        <v>562</v>
      </c>
      <c r="H353" s="69" t="s">
        <v>1071</v>
      </c>
      <c r="I353" s="73" t="s">
        <v>1501</v>
      </c>
      <c r="J353" s="73" t="s">
        <v>568</v>
      </c>
      <c r="K353" s="69" t="s">
        <v>667</v>
      </c>
      <c r="L353" s="69" t="s">
        <v>33</v>
      </c>
      <c r="M353" s="69" t="s">
        <v>549</v>
      </c>
      <c r="N353" s="69" t="s">
        <v>33</v>
      </c>
      <c r="O353" s="69" t="s">
        <v>657</v>
      </c>
      <c r="P353" s="69" t="s">
        <v>1336</v>
      </c>
      <c r="Q353" s="69" t="s">
        <v>842</v>
      </c>
      <c r="R353" s="69" t="s">
        <v>1360</v>
      </c>
      <c r="S353" s="69"/>
      <c r="T353" s="69"/>
      <c r="U353" s="69" t="s">
        <v>1556</v>
      </c>
      <c r="V353" s="71" t="s">
        <v>1572</v>
      </c>
      <c r="W353" s="72"/>
    </row>
    <row r="354" spans="1:23" ht="38.25" x14ac:dyDescent="0.15">
      <c r="A354" s="166"/>
      <c r="B354" s="166"/>
      <c r="C354" s="171"/>
      <c r="D354" s="67" t="s">
        <v>1568</v>
      </c>
      <c r="E354" s="68" t="s">
        <v>2445</v>
      </c>
      <c r="F354" s="68" t="s">
        <v>124</v>
      </c>
      <c r="G354" s="69" t="s">
        <v>801</v>
      </c>
      <c r="H354" s="69" t="s">
        <v>1400</v>
      </c>
      <c r="I354" s="73" t="s">
        <v>1501</v>
      </c>
      <c r="J354" s="73" t="s">
        <v>568</v>
      </c>
      <c r="K354" s="69" t="s">
        <v>667</v>
      </c>
      <c r="L354" s="69" t="s">
        <v>33</v>
      </c>
      <c r="M354" s="69" t="s">
        <v>549</v>
      </c>
      <c r="N354" s="69" t="s">
        <v>33</v>
      </c>
      <c r="O354" s="69" t="s">
        <v>623</v>
      </c>
      <c r="P354" s="69" t="s">
        <v>124</v>
      </c>
      <c r="Q354" s="69" t="s">
        <v>576</v>
      </c>
      <c r="R354" s="69" t="s">
        <v>124</v>
      </c>
      <c r="S354" s="69"/>
      <c r="T354" s="69"/>
      <c r="U354" s="69" t="s">
        <v>1591</v>
      </c>
      <c r="V354" s="71" t="s">
        <v>1572</v>
      </c>
      <c r="W354" s="72"/>
    </row>
    <row r="355" spans="1:23" ht="38.25" x14ac:dyDescent="0.15">
      <c r="A355" s="166"/>
      <c r="B355" s="166"/>
      <c r="C355" s="171"/>
      <c r="D355" s="67" t="s">
        <v>1568</v>
      </c>
      <c r="E355" s="68" t="s">
        <v>1686</v>
      </c>
      <c r="F355" s="68" t="s">
        <v>113</v>
      </c>
      <c r="G355" s="69" t="s">
        <v>801</v>
      </c>
      <c r="H355" s="69" t="s">
        <v>1400</v>
      </c>
      <c r="I355" s="73" t="s">
        <v>1501</v>
      </c>
      <c r="J355" s="73" t="s">
        <v>568</v>
      </c>
      <c r="K355" s="69" t="s">
        <v>667</v>
      </c>
      <c r="L355" s="69" t="s">
        <v>33</v>
      </c>
      <c r="M355" s="69" t="s">
        <v>549</v>
      </c>
      <c r="N355" s="69" t="s">
        <v>33</v>
      </c>
      <c r="O355" s="69" t="s">
        <v>623</v>
      </c>
      <c r="P355" s="69" t="s">
        <v>113</v>
      </c>
      <c r="Q355" s="69" t="s">
        <v>576</v>
      </c>
      <c r="R355" s="69" t="s">
        <v>124</v>
      </c>
      <c r="S355" s="69"/>
      <c r="T355" s="69"/>
      <c r="U355" s="69" t="s">
        <v>1591</v>
      </c>
      <c r="V355" s="71" t="s">
        <v>1572</v>
      </c>
      <c r="W355" s="72"/>
    </row>
    <row r="356" spans="1:23" ht="38.25" x14ac:dyDescent="0.15">
      <c r="A356" s="166"/>
      <c r="B356" s="166"/>
      <c r="C356" s="171"/>
      <c r="D356" s="67" t="s">
        <v>1568</v>
      </c>
      <c r="E356" s="68" t="s">
        <v>1696</v>
      </c>
      <c r="F356" s="68" t="s">
        <v>105</v>
      </c>
      <c r="G356" s="69" t="s">
        <v>801</v>
      </c>
      <c r="H356" s="69" t="s">
        <v>1400</v>
      </c>
      <c r="I356" s="73" t="s">
        <v>1501</v>
      </c>
      <c r="J356" s="73" t="s">
        <v>568</v>
      </c>
      <c r="K356" s="69" t="s">
        <v>667</v>
      </c>
      <c r="L356" s="69" t="s">
        <v>33</v>
      </c>
      <c r="M356" s="69" t="s">
        <v>549</v>
      </c>
      <c r="N356" s="69" t="s">
        <v>33</v>
      </c>
      <c r="O356" s="69" t="s">
        <v>623</v>
      </c>
      <c r="P356" s="69" t="s">
        <v>105</v>
      </c>
      <c r="Q356" s="69" t="s">
        <v>576</v>
      </c>
      <c r="R356" s="69" t="s">
        <v>124</v>
      </c>
      <c r="S356" s="69"/>
      <c r="T356" s="69"/>
      <c r="U356" s="69" t="s">
        <v>1591</v>
      </c>
      <c r="V356" s="71" t="s">
        <v>1572</v>
      </c>
      <c r="W356" s="72"/>
    </row>
    <row r="357" spans="1:23" ht="38.25" x14ac:dyDescent="0.15">
      <c r="A357" s="166"/>
      <c r="B357" s="166"/>
      <c r="C357" s="171"/>
      <c r="D357" s="67" t="s">
        <v>1568</v>
      </c>
      <c r="E357" s="68" t="s">
        <v>2054</v>
      </c>
      <c r="F357" s="68" t="s">
        <v>126</v>
      </c>
      <c r="G357" s="69" t="s">
        <v>801</v>
      </c>
      <c r="H357" s="69" t="s">
        <v>1400</v>
      </c>
      <c r="I357" s="73" t="s">
        <v>1501</v>
      </c>
      <c r="J357" s="73" t="s">
        <v>568</v>
      </c>
      <c r="K357" s="69" t="s">
        <v>667</v>
      </c>
      <c r="L357" s="69" t="s">
        <v>33</v>
      </c>
      <c r="M357" s="69" t="s">
        <v>549</v>
      </c>
      <c r="N357" s="69" t="s">
        <v>33</v>
      </c>
      <c r="O357" s="69" t="s">
        <v>623</v>
      </c>
      <c r="P357" s="69" t="s">
        <v>126</v>
      </c>
      <c r="Q357" s="69" t="s">
        <v>576</v>
      </c>
      <c r="R357" s="69" t="s">
        <v>124</v>
      </c>
      <c r="S357" s="69"/>
      <c r="T357" s="69"/>
      <c r="U357" s="69" t="s">
        <v>1591</v>
      </c>
      <c r="V357" s="71" t="s">
        <v>1572</v>
      </c>
      <c r="W357" s="72"/>
    </row>
    <row r="358" spans="1:23" ht="38.25" x14ac:dyDescent="0.15">
      <c r="A358" s="167"/>
      <c r="B358" s="167"/>
      <c r="C358" s="171"/>
      <c r="D358" s="67" t="s">
        <v>1568</v>
      </c>
      <c r="E358" s="68" t="s">
        <v>2309</v>
      </c>
      <c r="F358" s="68" t="s">
        <v>1370</v>
      </c>
      <c r="G358" s="69" t="s">
        <v>801</v>
      </c>
      <c r="H358" s="69" t="s">
        <v>1400</v>
      </c>
      <c r="I358" s="73" t="s">
        <v>1501</v>
      </c>
      <c r="J358" s="73" t="s">
        <v>568</v>
      </c>
      <c r="K358" s="69" t="s">
        <v>667</v>
      </c>
      <c r="L358" s="69" t="s">
        <v>33</v>
      </c>
      <c r="M358" s="69" t="s">
        <v>549</v>
      </c>
      <c r="N358" s="69" t="s">
        <v>33</v>
      </c>
      <c r="O358" s="69" t="s">
        <v>623</v>
      </c>
      <c r="P358" s="69" t="s">
        <v>1370</v>
      </c>
      <c r="Q358" s="69" t="s">
        <v>576</v>
      </c>
      <c r="R358" s="69" t="s">
        <v>124</v>
      </c>
      <c r="S358" s="69"/>
      <c r="T358" s="69"/>
      <c r="U358" s="69" t="s">
        <v>1591</v>
      </c>
      <c r="V358" s="71" t="s">
        <v>1572</v>
      </c>
      <c r="W358" s="72"/>
    </row>
    <row r="359" spans="1:23" ht="38.25" customHeight="1" x14ac:dyDescent="0.15">
      <c r="A359" s="165" t="s">
        <v>143</v>
      </c>
      <c r="B359" s="165" t="s">
        <v>373</v>
      </c>
      <c r="C359" s="171" t="s">
        <v>1064</v>
      </c>
      <c r="D359" s="67" t="s">
        <v>1568</v>
      </c>
      <c r="E359" s="68" t="s">
        <v>2142</v>
      </c>
      <c r="F359" s="68" t="s">
        <v>2699</v>
      </c>
      <c r="G359" s="69" t="s">
        <v>798</v>
      </c>
      <c r="H359" s="69" t="s">
        <v>191</v>
      </c>
      <c r="I359" s="73" t="s">
        <v>1489</v>
      </c>
      <c r="J359" s="73" t="s">
        <v>1122</v>
      </c>
      <c r="K359" s="69" t="s">
        <v>1419</v>
      </c>
      <c r="L359" s="69" t="s">
        <v>1122</v>
      </c>
      <c r="M359" s="69" t="s">
        <v>621</v>
      </c>
      <c r="N359" s="69" t="s">
        <v>1122</v>
      </c>
      <c r="O359" s="69" t="s">
        <v>609</v>
      </c>
      <c r="P359" s="69" t="s">
        <v>2699</v>
      </c>
      <c r="Q359" s="69" t="s">
        <v>871</v>
      </c>
      <c r="R359" s="69" t="s">
        <v>2623</v>
      </c>
      <c r="S359" s="69"/>
      <c r="T359" s="69"/>
      <c r="U359" s="69" t="s">
        <v>1591</v>
      </c>
      <c r="V359" s="71" t="s">
        <v>1572</v>
      </c>
      <c r="W359" s="72"/>
    </row>
    <row r="360" spans="1:23" ht="25.5" x14ac:dyDescent="0.15">
      <c r="A360" s="166"/>
      <c r="B360" s="166"/>
      <c r="C360" s="171"/>
      <c r="D360" s="67" t="s">
        <v>1568</v>
      </c>
      <c r="E360" s="68" t="s">
        <v>1982</v>
      </c>
      <c r="F360" s="68" t="s">
        <v>1300</v>
      </c>
      <c r="G360" s="69" t="s">
        <v>798</v>
      </c>
      <c r="H360" s="69" t="s">
        <v>191</v>
      </c>
      <c r="I360" s="73" t="s">
        <v>1489</v>
      </c>
      <c r="J360" s="73" t="s">
        <v>1122</v>
      </c>
      <c r="K360" s="69" t="s">
        <v>1419</v>
      </c>
      <c r="L360" s="69" t="s">
        <v>1122</v>
      </c>
      <c r="M360" s="69" t="s">
        <v>621</v>
      </c>
      <c r="N360" s="69" t="s">
        <v>1122</v>
      </c>
      <c r="O360" s="69" t="s">
        <v>609</v>
      </c>
      <c r="P360" s="69" t="s">
        <v>1300</v>
      </c>
      <c r="Q360" s="69" t="s">
        <v>871</v>
      </c>
      <c r="R360" s="69" t="s">
        <v>2623</v>
      </c>
      <c r="S360" s="69"/>
      <c r="T360" s="69"/>
      <c r="U360" s="69" t="s">
        <v>1591</v>
      </c>
      <c r="V360" s="71" t="s">
        <v>1572</v>
      </c>
      <c r="W360" s="72"/>
    </row>
    <row r="361" spans="1:23" ht="25.5" x14ac:dyDescent="0.15">
      <c r="A361" s="166"/>
      <c r="B361" s="167"/>
      <c r="C361" s="171"/>
      <c r="D361" s="67" t="s">
        <v>1568</v>
      </c>
      <c r="E361" s="68" t="s">
        <v>2519</v>
      </c>
      <c r="F361" s="68" t="s">
        <v>1265</v>
      </c>
      <c r="G361" s="69" t="s">
        <v>798</v>
      </c>
      <c r="H361" s="69" t="s">
        <v>191</v>
      </c>
      <c r="I361" s="73" t="s">
        <v>1489</v>
      </c>
      <c r="J361" s="73" t="s">
        <v>1122</v>
      </c>
      <c r="K361" s="69" t="s">
        <v>1419</v>
      </c>
      <c r="L361" s="69" t="s">
        <v>1122</v>
      </c>
      <c r="M361" s="69" t="s">
        <v>621</v>
      </c>
      <c r="N361" s="69" t="s">
        <v>1122</v>
      </c>
      <c r="O361" s="69" t="s">
        <v>609</v>
      </c>
      <c r="P361" s="69" t="s">
        <v>1265</v>
      </c>
      <c r="Q361" s="69" t="s">
        <v>871</v>
      </c>
      <c r="R361" s="69" t="s">
        <v>2623</v>
      </c>
      <c r="S361" s="69"/>
      <c r="T361" s="69"/>
      <c r="U361" s="69" t="s">
        <v>1591</v>
      </c>
      <c r="V361" s="71" t="s">
        <v>1572</v>
      </c>
      <c r="W361" s="72"/>
    </row>
    <row r="362" spans="1:23" ht="89.25" x14ac:dyDescent="0.15">
      <c r="A362" s="166"/>
      <c r="B362" s="165" t="s">
        <v>513</v>
      </c>
      <c r="C362" s="171" t="s">
        <v>805</v>
      </c>
      <c r="D362" s="67" t="s">
        <v>1568</v>
      </c>
      <c r="E362" s="68" t="s">
        <v>1655</v>
      </c>
      <c r="F362" s="68" t="s">
        <v>365</v>
      </c>
      <c r="G362" s="69" t="s">
        <v>35</v>
      </c>
      <c r="H362" s="69" t="s">
        <v>739</v>
      </c>
      <c r="I362" s="73" t="s">
        <v>781</v>
      </c>
      <c r="J362" s="73" t="s">
        <v>477</v>
      </c>
      <c r="K362" s="69" t="s">
        <v>480</v>
      </c>
      <c r="L362" s="69" t="s">
        <v>474</v>
      </c>
      <c r="M362" s="69" t="s">
        <v>621</v>
      </c>
      <c r="N362" s="69" t="s">
        <v>1122</v>
      </c>
      <c r="O362" s="69" t="s">
        <v>633</v>
      </c>
      <c r="P362" s="69" t="s">
        <v>365</v>
      </c>
      <c r="Q362" s="69" t="s">
        <v>1483</v>
      </c>
      <c r="R362" s="69" t="s">
        <v>65</v>
      </c>
      <c r="S362" s="69"/>
      <c r="T362" s="69"/>
      <c r="U362" s="69" t="s">
        <v>1591</v>
      </c>
      <c r="V362" s="71" t="s">
        <v>1572</v>
      </c>
      <c r="W362" s="72"/>
    </row>
    <row r="363" spans="1:23" ht="25.5" x14ac:dyDescent="0.15">
      <c r="A363" s="166"/>
      <c r="B363" s="166"/>
      <c r="C363" s="171"/>
      <c r="D363" s="67" t="s">
        <v>1568</v>
      </c>
      <c r="E363" s="68" t="s">
        <v>2526</v>
      </c>
      <c r="F363" s="68" t="s">
        <v>1308</v>
      </c>
      <c r="G363" s="69" t="s">
        <v>619</v>
      </c>
      <c r="H363" s="69" t="s">
        <v>1398</v>
      </c>
      <c r="I363" s="73" t="s">
        <v>2628</v>
      </c>
      <c r="J363" s="73" t="s">
        <v>758</v>
      </c>
      <c r="K363" s="69" t="s">
        <v>139</v>
      </c>
      <c r="L363" s="69" t="s">
        <v>957</v>
      </c>
      <c r="M363" s="69" t="s">
        <v>1449</v>
      </c>
      <c r="N363" s="69" t="s">
        <v>957</v>
      </c>
      <c r="O363" s="69" t="s">
        <v>647</v>
      </c>
      <c r="P363" s="69" t="s">
        <v>1308</v>
      </c>
      <c r="Q363" s="69" t="s">
        <v>882</v>
      </c>
      <c r="R363" s="69" t="s">
        <v>1058</v>
      </c>
      <c r="S363" s="69"/>
      <c r="T363" s="69"/>
      <c r="U363" s="69" t="s">
        <v>1591</v>
      </c>
      <c r="V363" s="71" t="s">
        <v>1572</v>
      </c>
      <c r="W363" s="72"/>
    </row>
    <row r="364" spans="1:23" ht="25.5" x14ac:dyDescent="0.15">
      <c r="A364" s="166"/>
      <c r="B364" s="166"/>
      <c r="C364" s="171"/>
      <c r="D364" s="67" t="s">
        <v>1568</v>
      </c>
      <c r="E364" s="68" t="s">
        <v>2529</v>
      </c>
      <c r="F364" s="68" t="s">
        <v>1103</v>
      </c>
      <c r="G364" s="69" t="s">
        <v>619</v>
      </c>
      <c r="H364" s="69" t="s">
        <v>1398</v>
      </c>
      <c r="I364" s="73" t="s">
        <v>2628</v>
      </c>
      <c r="J364" s="73" t="s">
        <v>758</v>
      </c>
      <c r="K364" s="69" t="s">
        <v>139</v>
      </c>
      <c r="L364" s="69" t="s">
        <v>957</v>
      </c>
      <c r="M364" s="69" t="s">
        <v>1449</v>
      </c>
      <c r="N364" s="69" t="s">
        <v>957</v>
      </c>
      <c r="O364" s="69" t="s">
        <v>647</v>
      </c>
      <c r="P364" s="69" t="s">
        <v>1103</v>
      </c>
      <c r="Q364" s="69" t="s">
        <v>882</v>
      </c>
      <c r="R364" s="69" t="s">
        <v>1058</v>
      </c>
      <c r="S364" s="69"/>
      <c r="T364" s="69"/>
      <c r="U364" s="69" t="s">
        <v>1591</v>
      </c>
      <c r="V364" s="71" t="s">
        <v>1572</v>
      </c>
      <c r="W364" s="72"/>
    </row>
    <row r="365" spans="1:23" ht="25.5" x14ac:dyDescent="0.15">
      <c r="A365" s="166"/>
      <c r="B365" s="166"/>
      <c r="C365" s="171"/>
      <c r="D365" s="67" t="s">
        <v>1568</v>
      </c>
      <c r="E365" s="68" t="s">
        <v>1803</v>
      </c>
      <c r="F365" s="68" t="s">
        <v>1080</v>
      </c>
      <c r="G365" s="69" t="s">
        <v>619</v>
      </c>
      <c r="H365" s="69" t="s">
        <v>1398</v>
      </c>
      <c r="I365" s="73" t="s">
        <v>2628</v>
      </c>
      <c r="J365" s="73" t="s">
        <v>758</v>
      </c>
      <c r="K365" s="69" t="s">
        <v>139</v>
      </c>
      <c r="L365" s="69" t="s">
        <v>957</v>
      </c>
      <c r="M365" s="69" t="s">
        <v>1449</v>
      </c>
      <c r="N365" s="69" t="s">
        <v>957</v>
      </c>
      <c r="O365" s="69" t="s">
        <v>647</v>
      </c>
      <c r="P365" s="69" t="s">
        <v>1080</v>
      </c>
      <c r="Q365" s="69" t="s">
        <v>882</v>
      </c>
      <c r="R365" s="69" t="s">
        <v>1058</v>
      </c>
      <c r="S365" s="69"/>
      <c r="T365" s="69"/>
      <c r="U365" s="69" t="s">
        <v>1591</v>
      </c>
      <c r="V365" s="71" t="s">
        <v>1572</v>
      </c>
      <c r="W365" s="72"/>
    </row>
    <row r="366" spans="1:23" ht="25.5" x14ac:dyDescent="0.15">
      <c r="A366" s="166"/>
      <c r="B366" s="166"/>
      <c r="C366" s="171"/>
      <c r="D366" s="67" t="s">
        <v>1568</v>
      </c>
      <c r="E366" s="68" t="s">
        <v>2098</v>
      </c>
      <c r="F366" s="68" t="s">
        <v>748</v>
      </c>
      <c r="G366" s="69" t="s">
        <v>619</v>
      </c>
      <c r="H366" s="69" t="s">
        <v>1398</v>
      </c>
      <c r="I366" s="73" t="s">
        <v>2628</v>
      </c>
      <c r="J366" s="73" t="s">
        <v>758</v>
      </c>
      <c r="K366" s="69" t="s">
        <v>139</v>
      </c>
      <c r="L366" s="69" t="s">
        <v>957</v>
      </c>
      <c r="M366" s="69" t="s">
        <v>1449</v>
      </c>
      <c r="N366" s="69" t="s">
        <v>957</v>
      </c>
      <c r="O366" s="69" t="s">
        <v>647</v>
      </c>
      <c r="P366" s="69" t="s">
        <v>748</v>
      </c>
      <c r="Q366" s="69" t="s">
        <v>882</v>
      </c>
      <c r="R366" s="69" t="s">
        <v>1058</v>
      </c>
      <c r="S366" s="69"/>
      <c r="T366" s="69"/>
      <c r="U366" s="69" t="s">
        <v>1591</v>
      </c>
      <c r="V366" s="71" t="s">
        <v>1572</v>
      </c>
      <c r="W366" s="72"/>
    </row>
    <row r="367" spans="1:23" ht="25.5" x14ac:dyDescent="0.15">
      <c r="A367" s="166"/>
      <c r="B367" s="166"/>
      <c r="C367" s="171"/>
      <c r="D367" s="67" t="s">
        <v>1568</v>
      </c>
      <c r="E367" s="68" t="s">
        <v>2492</v>
      </c>
      <c r="F367" s="68" t="s">
        <v>1255</v>
      </c>
      <c r="G367" s="69" t="s">
        <v>619</v>
      </c>
      <c r="H367" s="69" t="s">
        <v>1398</v>
      </c>
      <c r="I367" s="73" t="s">
        <v>2628</v>
      </c>
      <c r="J367" s="73" t="s">
        <v>758</v>
      </c>
      <c r="K367" s="69" t="s">
        <v>139</v>
      </c>
      <c r="L367" s="69" t="s">
        <v>957</v>
      </c>
      <c r="M367" s="69" t="s">
        <v>1449</v>
      </c>
      <c r="N367" s="69" t="s">
        <v>957</v>
      </c>
      <c r="O367" s="69" t="s">
        <v>647</v>
      </c>
      <c r="P367" s="69" t="s">
        <v>1255</v>
      </c>
      <c r="Q367" s="69" t="s">
        <v>882</v>
      </c>
      <c r="R367" s="69" t="s">
        <v>1058</v>
      </c>
      <c r="S367" s="69"/>
      <c r="T367" s="69"/>
      <c r="U367" s="69" t="s">
        <v>1591</v>
      </c>
      <c r="V367" s="71" t="s">
        <v>1572</v>
      </c>
      <c r="W367" s="72"/>
    </row>
    <row r="368" spans="1:23" ht="25.5" x14ac:dyDescent="0.15">
      <c r="A368" s="166"/>
      <c r="B368" s="166"/>
      <c r="C368" s="171"/>
      <c r="D368" s="67" t="s">
        <v>1568</v>
      </c>
      <c r="E368" s="68" t="s">
        <v>2517</v>
      </c>
      <c r="F368" s="68" t="s">
        <v>1201</v>
      </c>
      <c r="G368" s="69" t="s">
        <v>619</v>
      </c>
      <c r="H368" s="69" t="s">
        <v>1398</v>
      </c>
      <c r="I368" s="73" t="s">
        <v>2628</v>
      </c>
      <c r="J368" s="73" t="s">
        <v>758</v>
      </c>
      <c r="K368" s="69" t="s">
        <v>139</v>
      </c>
      <c r="L368" s="69" t="s">
        <v>957</v>
      </c>
      <c r="M368" s="69" t="s">
        <v>1449</v>
      </c>
      <c r="N368" s="69" t="s">
        <v>957</v>
      </c>
      <c r="O368" s="69" t="s">
        <v>647</v>
      </c>
      <c r="P368" s="69" t="s">
        <v>1201</v>
      </c>
      <c r="Q368" s="69" t="s">
        <v>882</v>
      </c>
      <c r="R368" s="69" t="s">
        <v>1058</v>
      </c>
      <c r="S368" s="69"/>
      <c r="T368" s="69"/>
      <c r="U368" s="69" t="s">
        <v>1591</v>
      </c>
      <c r="V368" s="71" t="s">
        <v>1572</v>
      </c>
      <c r="W368" s="72"/>
    </row>
    <row r="369" spans="1:23" ht="51" x14ac:dyDescent="0.15">
      <c r="A369" s="166"/>
      <c r="B369" s="166"/>
      <c r="C369" s="171"/>
      <c r="D369" s="67" t="s">
        <v>1568</v>
      </c>
      <c r="E369" s="68" t="s">
        <v>2488</v>
      </c>
      <c r="F369" s="68" t="s">
        <v>806</v>
      </c>
      <c r="G369" s="69" t="s">
        <v>83</v>
      </c>
      <c r="H369" s="69" t="s">
        <v>924</v>
      </c>
      <c r="I369" s="73" t="s">
        <v>1442</v>
      </c>
      <c r="J369" s="73" t="s">
        <v>924</v>
      </c>
      <c r="K369" s="69" t="s">
        <v>139</v>
      </c>
      <c r="L369" s="69" t="s">
        <v>957</v>
      </c>
      <c r="M369" s="69" t="s">
        <v>1449</v>
      </c>
      <c r="N369" s="69" t="s">
        <v>957</v>
      </c>
      <c r="O369" s="69" t="s">
        <v>1420</v>
      </c>
      <c r="P369" s="69" t="s">
        <v>806</v>
      </c>
      <c r="Q369" s="69" t="s">
        <v>1431</v>
      </c>
      <c r="R369" s="69" t="s">
        <v>1548</v>
      </c>
      <c r="S369" s="69"/>
      <c r="T369" s="69"/>
      <c r="U369" s="69" t="s">
        <v>1556</v>
      </c>
      <c r="V369" s="71" t="s">
        <v>1555</v>
      </c>
      <c r="W369" s="74" t="s">
        <v>766</v>
      </c>
    </row>
    <row r="370" spans="1:23" ht="51" x14ac:dyDescent="0.15">
      <c r="A370" s="166"/>
      <c r="B370" s="166"/>
      <c r="C370" s="171"/>
      <c r="D370" s="67" t="s">
        <v>1568</v>
      </c>
      <c r="E370" s="68" t="s">
        <v>2467</v>
      </c>
      <c r="F370" s="68" t="s">
        <v>843</v>
      </c>
      <c r="G370" s="69" t="s">
        <v>83</v>
      </c>
      <c r="H370" s="69" t="s">
        <v>924</v>
      </c>
      <c r="I370" s="73" t="s">
        <v>1442</v>
      </c>
      <c r="J370" s="73" t="s">
        <v>924</v>
      </c>
      <c r="K370" s="69" t="s">
        <v>139</v>
      </c>
      <c r="L370" s="69" t="s">
        <v>957</v>
      </c>
      <c r="M370" s="69" t="s">
        <v>1449</v>
      </c>
      <c r="N370" s="69" t="s">
        <v>957</v>
      </c>
      <c r="O370" s="69" t="s">
        <v>1420</v>
      </c>
      <c r="P370" s="69" t="s">
        <v>843</v>
      </c>
      <c r="Q370" s="69" t="s">
        <v>1431</v>
      </c>
      <c r="R370" s="69" t="s">
        <v>1548</v>
      </c>
      <c r="S370" s="69"/>
      <c r="T370" s="69"/>
      <c r="U370" s="69" t="s">
        <v>1556</v>
      </c>
      <c r="V370" s="71" t="s">
        <v>1555</v>
      </c>
      <c r="W370" s="74" t="s">
        <v>766</v>
      </c>
    </row>
    <row r="371" spans="1:23" ht="51" x14ac:dyDescent="0.15">
      <c r="A371" s="166"/>
      <c r="B371" s="166"/>
      <c r="C371" s="171"/>
      <c r="D371" s="67" t="s">
        <v>1568</v>
      </c>
      <c r="E371" s="68" t="s">
        <v>2086</v>
      </c>
      <c r="F371" s="68" t="s">
        <v>530</v>
      </c>
      <c r="G371" s="69" t="s">
        <v>83</v>
      </c>
      <c r="H371" s="69" t="s">
        <v>924</v>
      </c>
      <c r="I371" s="73" t="s">
        <v>1442</v>
      </c>
      <c r="J371" s="73" t="s">
        <v>924</v>
      </c>
      <c r="K371" s="69" t="s">
        <v>139</v>
      </c>
      <c r="L371" s="69" t="s">
        <v>957</v>
      </c>
      <c r="M371" s="69" t="s">
        <v>1449</v>
      </c>
      <c r="N371" s="69" t="s">
        <v>957</v>
      </c>
      <c r="O371" s="69" t="s">
        <v>1420</v>
      </c>
      <c r="P371" s="69" t="s">
        <v>530</v>
      </c>
      <c r="Q371" s="69" t="s">
        <v>1431</v>
      </c>
      <c r="R371" s="69" t="s">
        <v>1548</v>
      </c>
      <c r="S371" s="69"/>
      <c r="T371" s="69"/>
      <c r="U371" s="69" t="s">
        <v>1556</v>
      </c>
      <c r="V371" s="71" t="s">
        <v>1555</v>
      </c>
      <c r="W371" s="74" t="s">
        <v>766</v>
      </c>
    </row>
    <row r="372" spans="1:23" ht="51" x14ac:dyDescent="0.15">
      <c r="A372" s="166"/>
      <c r="B372" s="166"/>
      <c r="C372" s="171"/>
      <c r="D372" s="67" t="s">
        <v>1568</v>
      </c>
      <c r="E372" s="68" t="s">
        <v>2571</v>
      </c>
      <c r="F372" s="68" t="s">
        <v>901</v>
      </c>
      <c r="G372" s="69" t="s">
        <v>83</v>
      </c>
      <c r="H372" s="69" t="s">
        <v>924</v>
      </c>
      <c r="I372" s="73" t="s">
        <v>1442</v>
      </c>
      <c r="J372" s="73" t="s">
        <v>924</v>
      </c>
      <c r="K372" s="69" t="s">
        <v>139</v>
      </c>
      <c r="L372" s="69" t="s">
        <v>957</v>
      </c>
      <c r="M372" s="69" t="s">
        <v>1449</v>
      </c>
      <c r="N372" s="69" t="s">
        <v>957</v>
      </c>
      <c r="O372" s="69" t="s">
        <v>1420</v>
      </c>
      <c r="P372" s="69" t="s">
        <v>901</v>
      </c>
      <c r="Q372" s="69" t="s">
        <v>1431</v>
      </c>
      <c r="R372" s="69" t="s">
        <v>1548</v>
      </c>
      <c r="S372" s="69"/>
      <c r="T372" s="69"/>
      <c r="U372" s="69" t="s">
        <v>1556</v>
      </c>
      <c r="V372" s="71" t="s">
        <v>1555</v>
      </c>
      <c r="W372" s="74" t="s">
        <v>766</v>
      </c>
    </row>
    <row r="373" spans="1:23" ht="51" x14ac:dyDescent="0.15">
      <c r="A373" s="166"/>
      <c r="B373" s="166"/>
      <c r="C373" s="171"/>
      <c r="D373" s="67" t="s">
        <v>1568</v>
      </c>
      <c r="E373" s="68" t="s">
        <v>2133</v>
      </c>
      <c r="F373" s="68" t="s">
        <v>651</v>
      </c>
      <c r="G373" s="69" t="s">
        <v>83</v>
      </c>
      <c r="H373" s="69" t="s">
        <v>924</v>
      </c>
      <c r="I373" s="73" t="s">
        <v>1442</v>
      </c>
      <c r="J373" s="73" t="s">
        <v>924</v>
      </c>
      <c r="K373" s="69" t="s">
        <v>139</v>
      </c>
      <c r="L373" s="69" t="s">
        <v>957</v>
      </c>
      <c r="M373" s="69" t="s">
        <v>1449</v>
      </c>
      <c r="N373" s="69" t="s">
        <v>957</v>
      </c>
      <c r="O373" s="69" t="s">
        <v>1420</v>
      </c>
      <c r="P373" s="69" t="s">
        <v>651</v>
      </c>
      <c r="Q373" s="69" t="s">
        <v>1431</v>
      </c>
      <c r="R373" s="69" t="s">
        <v>1548</v>
      </c>
      <c r="S373" s="69"/>
      <c r="T373" s="69"/>
      <c r="U373" s="69" t="s">
        <v>1556</v>
      </c>
      <c r="V373" s="71" t="s">
        <v>1555</v>
      </c>
      <c r="W373" s="74" t="s">
        <v>766</v>
      </c>
    </row>
    <row r="374" spans="1:23" ht="25.5" x14ac:dyDescent="0.15">
      <c r="A374" s="166"/>
      <c r="B374" s="166"/>
      <c r="C374" s="171"/>
      <c r="D374" s="67" t="s">
        <v>1568</v>
      </c>
      <c r="E374" s="68" t="s">
        <v>2152</v>
      </c>
      <c r="F374" s="68" t="s">
        <v>1073</v>
      </c>
      <c r="G374" s="69" t="s">
        <v>907</v>
      </c>
      <c r="H374" s="69" t="s">
        <v>2095</v>
      </c>
      <c r="I374" s="73" t="s">
        <v>1532</v>
      </c>
      <c r="J374" s="73" t="s">
        <v>1433</v>
      </c>
      <c r="K374" s="69" t="s">
        <v>139</v>
      </c>
      <c r="L374" s="69" t="s">
        <v>957</v>
      </c>
      <c r="M374" s="69" t="s">
        <v>1449</v>
      </c>
      <c r="N374" s="69" t="s">
        <v>957</v>
      </c>
      <c r="O374" s="69" t="s">
        <v>788</v>
      </c>
      <c r="P374" s="69" t="s">
        <v>1073</v>
      </c>
      <c r="Q374" s="69" t="s">
        <v>141</v>
      </c>
      <c r="R374" s="69" t="s">
        <v>1073</v>
      </c>
      <c r="S374" s="69"/>
      <c r="T374" s="69"/>
      <c r="U374" s="69" t="s">
        <v>1591</v>
      </c>
      <c r="V374" s="71" t="s">
        <v>1572</v>
      </c>
      <c r="W374" s="72"/>
    </row>
    <row r="375" spans="1:23" ht="25.5" x14ac:dyDescent="0.15">
      <c r="A375" s="166"/>
      <c r="B375" s="166"/>
      <c r="C375" s="171"/>
      <c r="D375" s="67" t="s">
        <v>1568</v>
      </c>
      <c r="E375" s="68" t="s">
        <v>2556</v>
      </c>
      <c r="F375" s="68" t="s">
        <v>1466</v>
      </c>
      <c r="G375" s="69" t="s">
        <v>907</v>
      </c>
      <c r="H375" s="69" t="s">
        <v>2095</v>
      </c>
      <c r="I375" s="73" t="s">
        <v>1532</v>
      </c>
      <c r="J375" s="73" t="s">
        <v>1433</v>
      </c>
      <c r="K375" s="69" t="s">
        <v>139</v>
      </c>
      <c r="L375" s="69" t="s">
        <v>957</v>
      </c>
      <c r="M375" s="69" t="s">
        <v>1449</v>
      </c>
      <c r="N375" s="69" t="s">
        <v>957</v>
      </c>
      <c r="O375" s="69" t="s">
        <v>828</v>
      </c>
      <c r="P375" s="69" t="s">
        <v>1466</v>
      </c>
      <c r="Q375" s="69" t="s">
        <v>1549</v>
      </c>
      <c r="R375" s="69" t="s">
        <v>1466</v>
      </c>
      <c r="S375" s="69"/>
      <c r="T375" s="69"/>
      <c r="U375" s="69" t="s">
        <v>1591</v>
      </c>
      <c r="V375" s="71" t="s">
        <v>1572</v>
      </c>
      <c r="W375" s="72"/>
    </row>
    <row r="376" spans="1:23" ht="25.5" x14ac:dyDescent="0.15">
      <c r="A376" s="166"/>
      <c r="B376" s="166"/>
      <c r="C376" s="171"/>
      <c r="D376" s="67" t="s">
        <v>1568</v>
      </c>
      <c r="E376" s="68" t="s">
        <v>2117</v>
      </c>
      <c r="F376" s="68" t="s">
        <v>528</v>
      </c>
      <c r="G376" s="69" t="s">
        <v>907</v>
      </c>
      <c r="H376" s="69" t="s">
        <v>2095</v>
      </c>
      <c r="I376" s="73" t="s">
        <v>1532</v>
      </c>
      <c r="J376" s="73" t="s">
        <v>1433</v>
      </c>
      <c r="K376" s="69" t="s">
        <v>139</v>
      </c>
      <c r="L376" s="69" t="s">
        <v>957</v>
      </c>
      <c r="M376" s="69" t="s">
        <v>1449</v>
      </c>
      <c r="N376" s="69" t="s">
        <v>957</v>
      </c>
      <c r="O376" s="69" t="s">
        <v>828</v>
      </c>
      <c r="P376" s="69" t="s">
        <v>528</v>
      </c>
      <c r="Q376" s="69" t="s">
        <v>1549</v>
      </c>
      <c r="R376" s="69" t="s">
        <v>1466</v>
      </c>
      <c r="S376" s="69"/>
      <c r="T376" s="69"/>
      <c r="U376" s="69" t="s">
        <v>1591</v>
      </c>
      <c r="V376" s="71" t="s">
        <v>1572</v>
      </c>
      <c r="W376" s="72"/>
    </row>
    <row r="377" spans="1:23" ht="25.5" x14ac:dyDescent="0.15">
      <c r="A377" s="166"/>
      <c r="B377" s="166"/>
      <c r="C377" s="171"/>
      <c r="D377" s="67" t="s">
        <v>1568</v>
      </c>
      <c r="E377" s="68" t="s">
        <v>2110</v>
      </c>
      <c r="F377" s="68" t="s">
        <v>663</v>
      </c>
      <c r="G377" s="69" t="s">
        <v>907</v>
      </c>
      <c r="H377" s="69" t="s">
        <v>2095</v>
      </c>
      <c r="I377" s="73" t="s">
        <v>1532</v>
      </c>
      <c r="J377" s="73" t="s">
        <v>1433</v>
      </c>
      <c r="K377" s="69" t="s">
        <v>139</v>
      </c>
      <c r="L377" s="69" t="s">
        <v>957</v>
      </c>
      <c r="M377" s="69" t="s">
        <v>1449</v>
      </c>
      <c r="N377" s="69" t="s">
        <v>957</v>
      </c>
      <c r="O377" s="69" t="s">
        <v>828</v>
      </c>
      <c r="P377" s="69" t="s">
        <v>663</v>
      </c>
      <c r="Q377" s="69" t="s">
        <v>1549</v>
      </c>
      <c r="R377" s="69" t="s">
        <v>1466</v>
      </c>
      <c r="S377" s="69"/>
      <c r="T377" s="69"/>
      <c r="U377" s="69" t="s">
        <v>1591</v>
      </c>
      <c r="V377" s="71" t="s">
        <v>1572</v>
      </c>
      <c r="W377" s="72"/>
    </row>
    <row r="378" spans="1:23" ht="25.5" x14ac:dyDescent="0.15">
      <c r="A378" s="166"/>
      <c r="B378" s="166"/>
      <c r="C378" s="171"/>
      <c r="D378" s="67" t="s">
        <v>1568</v>
      </c>
      <c r="E378" s="68" t="s">
        <v>2473</v>
      </c>
      <c r="F378" s="68" t="s">
        <v>862</v>
      </c>
      <c r="G378" s="69" t="s">
        <v>907</v>
      </c>
      <c r="H378" s="69" t="s">
        <v>2095</v>
      </c>
      <c r="I378" s="73" t="s">
        <v>1532</v>
      </c>
      <c r="J378" s="73" t="s">
        <v>1433</v>
      </c>
      <c r="K378" s="69" t="s">
        <v>139</v>
      </c>
      <c r="L378" s="69" t="s">
        <v>957</v>
      </c>
      <c r="M378" s="69" t="s">
        <v>1449</v>
      </c>
      <c r="N378" s="69" t="s">
        <v>957</v>
      </c>
      <c r="O378" s="69" t="s">
        <v>828</v>
      </c>
      <c r="P378" s="69" t="s">
        <v>862</v>
      </c>
      <c r="Q378" s="69" t="s">
        <v>1549</v>
      </c>
      <c r="R378" s="69" t="s">
        <v>1466</v>
      </c>
      <c r="S378" s="69"/>
      <c r="T378" s="69"/>
      <c r="U378" s="69" t="s">
        <v>1591</v>
      </c>
      <c r="V378" s="71" t="s">
        <v>1572</v>
      </c>
      <c r="W378" s="72"/>
    </row>
    <row r="379" spans="1:23" ht="25.5" x14ac:dyDescent="0.15">
      <c r="A379" s="166"/>
      <c r="B379" s="167"/>
      <c r="C379" s="171"/>
      <c r="D379" s="67" t="s">
        <v>1568</v>
      </c>
      <c r="E379" s="68" t="s">
        <v>2147</v>
      </c>
      <c r="F379" s="68" t="s">
        <v>864</v>
      </c>
      <c r="G379" s="69" t="s">
        <v>907</v>
      </c>
      <c r="H379" s="69" t="s">
        <v>2095</v>
      </c>
      <c r="I379" s="73" t="s">
        <v>1532</v>
      </c>
      <c r="J379" s="73" t="s">
        <v>1433</v>
      </c>
      <c r="K379" s="69" t="s">
        <v>139</v>
      </c>
      <c r="L379" s="69" t="s">
        <v>957</v>
      </c>
      <c r="M379" s="69" t="s">
        <v>1449</v>
      </c>
      <c r="N379" s="69" t="s">
        <v>957</v>
      </c>
      <c r="O379" s="69" t="s">
        <v>828</v>
      </c>
      <c r="P379" s="69" t="s">
        <v>864</v>
      </c>
      <c r="Q379" s="69" t="s">
        <v>1549</v>
      </c>
      <c r="R379" s="69" t="s">
        <v>1466</v>
      </c>
      <c r="S379" s="69"/>
      <c r="T379" s="69"/>
      <c r="U379" s="69" t="s">
        <v>1591</v>
      </c>
      <c r="V379" s="71" t="s">
        <v>1572</v>
      </c>
      <c r="W379" s="72"/>
    </row>
    <row r="380" spans="1:23" ht="38.25" customHeight="1" x14ac:dyDescent="0.15">
      <c r="A380" s="166"/>
      <c r="B380" s="165" t="s">
        <v>310</v>
      </c>
      <c r="C380" s="171" t="s">
        <v>2203</v>
      </c>
      <c r="D380" s="67" t="s">
        <v>1568</v>
      </c>
      <c r="E380" s="68" t="s">
        <v>2097</v>
      </c>
      <c r="F380" s="68" t="s">
        <v>117</v>
      </c>
      <c r="G380" s="69" t="s">
        <v>857</v>
      </c>
      <c r="H380" s="69" t="s">
        <v>1260</v>
      </c>
      <c r="I380" s="73" t="s">
        <v>1397</v>
      </c>
      <c r="J380" s="79" t="s">
        <v>1012</v>
      </c>
      <c r="K380" s="69" t="s">
        <v>1418</v>
      </c>
      <c r="L380" s="69" t="s">
        <v>1750</v>
      </c>
      <c r="M380" s="69" t="s">
        <v>1443</v>
      </c>
      <c r="N380" s="69" t="s">
        <v>1750</v>
      </c>
      <c r="O380" s="69" t="s">
        <v>137</v>
      </c>
      <c r="P380" s="69" t="s">
        <v>117</v>
      </c>
      <c r="Q380" s="71" t="s">
        <v>900</v>
      </c>
      <c r="R380" s="69" t="s">
        <v>495</v>
      </c>
      <c r="S380" s="71"/>
      <c r="T380" s="71"/>
      <c r="U380" s="69" t="s">
        <v>1556</v>
      </c>
      <c r="V380" s="71" t="s">
        <v>1572</v>
      </c>
      <c r="W380" s="72"/>
    </row>
    <row r="381" spans="1:23" ht="38.25" x14ac:dyDescent="0.15">
      <c r="A381" s="166"/>
      <c r="B381" s="166"/>
      <c r="C381" s="171"/>
      <c r="D381" s="67" t="s">
        <v>1568</v>
      </c>
      <c r="E381" s="68" t="s">
        <v>2137</v>
      </c>
      <c r="F381" s="68" t="s">
        <v>1351</v>
      </c>
      <c r="G381" s="69" t="s">
        <v>857</v>
      </c>
      <c r="H381" s="69" t="s">
        <v>1260</v>
      </c>
      <c r="I381" s="73" t="s">
        <v>1397</v>
      </c>
      <c r="J381" s="79" t="s">
        <v>1012</v>
      </c>
      <c r="K381" s="69" t="s">
        <v>1418</v>
      </c>
      <c r="L381" s="69" t="s">
        <v>1750</v>
      </c>
      <c r="M381" s="69" t="s">
        <v>1443</v>
      </c>
      <c r="N381" s="69" t="s">
        <v>1750</v>
      </c>
      <c r="O381" s="69" t="s">
        <v>137</v>
      </c>
      <c r="P381" s="69" t="s">
        <v>1351</v>
      </c>
      <c r="Q381" s="71" t="s">
        <v>900</v>
      </c>
      <c r="R381" s="69" t="s">
        <v>495</v>
      </c>
      <c r="S381" s="71"/>
      <c r="T381" s="71"/>
      <c r="U381" s="69" t="s">
        <v>1556</v>
      </c>
      <c r="V381" s="71" t="s">
        <v>1572</v>
      </c>
      <c r="W381" s="72"/>
    </row>
    <row r="382" spans="1:23" ht="38.25" x14ac:dyDescent="0.15">
      <c r="A382" s="166"/>
      <c r="B382" s="166"/>
      <c r="C382" s="171"/>
      <c r="D382" s="67" t="s">
        <v>1568</v>
      </c>
      <c r="E382" s="68" t="s">
        <v>2113</v>
      </c>
      <c r="F382" s="68" t="s">
        <v>1394</v>
      </c>
      <c r="G382" s="69" t="s">
        <v>1540</v>
      </c>
      <c r="H382" s="69" t="s">
        <v>1331</v>
      </c>
      <c r="I382" s="73" t="s">
        <v>1397</v>
      </c>
      <c r="J382" s="79" t="s">
        <v>1012</v>
      </c>
      <c r="K382" s="69" t="s">
        <v>1418</v>
      </c>
      <c r="L382" s="69" t="s">
        <v>1750</v>
      </c>
      <c r="M382" s="69" t="s">
        <v>1443</v>
      </c>
      <c r="N382" s="69" t="s">
        <v>1750</v>
      </c>
      <c r="O382" s="69" t="s">
        <v>137</v>
      </c>
      <c r="P382" s="69" t="s">
        <v>1394</v>
      </c>
      <c r="Q382" s="71" t="s">
        <v>900</v>
      </c>
      <c r="R382" s="69" t="s">
        <v>495</v>
      </c>
      <c r="S382" s="71"/>
      <c r="T382" s="71"/>
      <c r="U382" s="69" t="s">
        <v>1556</v>
      </c>
      <c r="V382" s="71" t="s">
        <v>1572</v>
      </c>
      <c r="W382" s="72"/>
    </row>
    <row r="383" spans="1:23" ht="38.25" x14ac:dyDescent="0.15">
      <c r="A383" s="166"/>
      <c r="B383" s="167"/>
      <c r="C383" s="171"/>
      <c r="D383" s="67" t="s">
        <v>1568</v>
      </c>
      <c r="E383" s="68" t="s">
        <v>2105</v>
      </c>
      <c r="F383" s="68" t="s">
        <v>1362</v>
      </c>
      <c r="G383" s="69" t="s">
        <v>1540</v>
      </c>
      <c r="H383" s="69" t="s">
        <v>1331</v>
      </c>
      <c r="I383" s="73" t="s">
        <v>1397</v>
      </c>
      <c r="J383" s="79" t="s">
        <v>1012</v>
      </c>
      <c r="K383" s="69" t="s">
        <v>1418</v>
      </c>
      <c r="L383" s="69" t="s">
        <v>1750</v>
      </c>
      <c r="M383" s="69" t="s">
        <v>1443</v>
      </c>
      <c r="N383" s="69" t="s">
        <v>1750</v>
      </c>
      <c r="O383" s="69" t="s">
        <v>137</v>
      </c>
      <c r="P383" s="69" t="s">
        <v>1362</v>
      </c>
      <c r="Q383" s="71" t="s">
        <v>900</v>
      </c>
      <c r="R383" s="69" t="s">
        <v>495</v>
      </c>
      <c r="S383" s="71"/>
      <c r="T383" s="71"/>
      <c r="U383" s="69" t="s">
        <v>1556</v>
      </c>
      <c r="V383" s="71" t="s">
        <v>1572</v>
      </c>
      <c r="W383" s="72"/>
    </row>
    <row r="384" spans="1:23" s="84" customFormat="1" ht="14.1" customHeight="1" x14ac:dyDescent="0.2">
      <c r="A384" s="80"/>
      <c r="B384" s="156" t="s">
        <v>376</v>
      </c>
      <c r="C384" s="159" t="s">
        <v>2674</v>
      </c>
      <c r="D384" s="81" t="s">
        <v>1568</v>
      </c>
      <c r="E384" s="82" t="s">
        <v>2146</v>
      </c>
      <c r="F384" s="82" t="s">
        <v>1728</v>
      </c>
      <c r="G384" s="160" t="s">
        <v>1557</v>
      </c>
      <c r="H384" s="160"/>
      <c r="I384" s="160"/>
      <c r="J384" s="160"/>
      <c r="K384" s="160"/>
      <c r="L384" s="160"/>
      <c r="M384" s="160"/>
      <c r="N384" s="160"/>
      <c r="O384" s="160"/>
      <c r="P384" s="160"/>
      <c r="Q384" s="160"/>
      <c r="R384" s="160"/>
      <c r="S384" s="160"/>
      <c r="T384" s="160"/>
      <c r="U384" s="160"/>
      <c r="V384" s="83" t="s">
        <v>1575</v>
      </c>
      <c r="W384" s="161" t="s">
        <v>1359</v>
      </c>
    </row>
    <row r="385" spans="1:23" s="84" customFormat="1" x14ac:dyDescent="0.2">
      <c r="A385" s="80"/>
      <c r="B385" s="157"/>
      <c r="C385" s="159"/>
      <c r="D385" s="81" t="s">
        <v>1568</v>
      </c>
      <c r="E385" s="82" t="s">
        <v>2015</v>
      </c>
      <c r="F385" s="82" t="s">
        <v>2090</v>
      </c>
      <c r="G385" s="160"/>
      <c r="H385" s="160"/>
      <c r="I385" s="160"/>
      <c r="J385" s="160"/>
      <c r="K385" s="160"/>
      <c r="L385" s="160"/>
      <c r="M385" s="160"/>
      <c r="N385" s="160"/>
      <c r="O385" s="160"/>
      <c r="P385" s="160"/>
      <c r="Q385" s="160"/>
      <c r="R385" s="160"/>
      <c r="S385" s="160"/>
      <c r="T385" s="160"/>
      <c r="U385" s="160"/>
      <c r="V385" s="83" t="s">
        <v>1575</v>
      </c>
      <c r="W385" s="162"/>
    </row>
    <row r="386" spans="1:23" s="84" customFormat="1" x14ac:dyDescent="0.2">
      <c r="A386" s="80"/>
      <c r="B386" s="157"/>
      <c r="C386" s="159"/>
      <c r="D386" s="81" t="s">
        <v>1568</v>
      </c>
      <c r="E386" s="82" t="s">
        <v>2123</v>
      </c>
      <c r="F386" s="82" t="s">
        <v>1710</v>
      </c>
      <c r="G386" s="160"/>
      <c r="H386" s="160"/>
      <c r="I386" s="160"/>
      <c r="J386" s="160"/>
      <c r="K386" s="160"/>
      <c r="L386" s="160"/>
      <c r="M386" s="160"/>
      <c r="N386" s="160"/>
      <c r="O386" s="160"/>
      <c r="P386" s="160"/>
      <c r="Q386" s="160"/>
      <c r="R386" s="160"/>
      <c r="S386" s="160"/>
      <c r="T386" s="160"/>
      <c r="U386" s="160"/>
      <c r="V386" s="83" t="s">
        <v>1575</v>
      </c>
      <c r="W386" s="162"/>
    </row>
    <row r="387" spans="1:23" s="84" customFormat="1" x14ac:dyDescent="0.2">
      <c r="A387" s="80"/>
      <c r="B387" s="157"/>
      <c r="C387" s="159"/>
      <c r="D387" s="81" t="s">
        <v>1568</v>
      </c>
      <c r="E387" s="82" t="s">
        <v>2111</v>
      </c>
      <c r="F387" s="82" t="s">
        <v>1863</v>
      </c>
      <c r="G387" s="160"/>
      <c r="H387" s="160"/>
      <c r="I387" s="160"/>
      <c r="J387" s="160"/>
      <c r="K387" s="160"/>
      <c r="L387" s="160"/>
      <c r="M387" s="160"/>
      <c r="N387" s="160"/>
      <c r="O387" s="160"/>
      <c r="P387" s="160"/>
      <c r="Q387" s="160"/>
      <c r="R387" s="160"/>
      <c r="S387" s="160"/>
      <c r="T387" s="160"/>
      <c r="U387" s="160"/>
      <c r="V387" s="83" t="s">
        <v>1575</v>
      </c>
      <c r="W387" s="162"/>
    </row>
    <row r="388" spans="1:23" s="84" customFormat="1" x14ac:dyDescent="0.2">
      <c r="A388" s="80"/>
      <c r="B388" s="157"/>
      <c r="C388" s="159"/>
      <c r="D388" s="81" t="s">
        <v>1568</v>
      </c>
      <c r="E388" s="82" t="s">
        <v>2052</v>
      </c>
      <c r="F388" s="82" t="s">
        <v>2197</v>
      </c>
      <c r="G388" s="160"/>
      <c r="H388" s="160"/>
      <c r="I388" s="160"/>
      <c r="J388" s="160"/>
      <c r="K388" s="160"/>
      <c r="L388" s="160"/>
      <c r="M388" s="160"/>
      <c r="N388" s="160"/>
      <c r="O388" s="160"/>
      <c r="P388" s="160"/>
      <c r="Q388" s="160"/>
      <c r="R388" s="160"/>
      <c r="S388" s="160"/>
      <c r="T388" s="160"/>
      <c r="U388" s="160"/>
      <c r="V388" s="83" t="s">
        <v>1575</v>
      </c>
      <c r="W388" s="162"/>
    </row>
    <row r="389" spans="1:23" s="84" customFormat="1" x14ac:dyDescent="0.2">
      <c r="A389" s="80"/>
      <c r="B389" s="157"/>
      <c r="C389" s="159"/>
      <c r="D389" s="81" t="s">
        <v>1568</v>
      </c>
      <c r="E389" s="82" t="s">
        <v>1876</v>
      </c>
      <c r="F389" s="82" t="s">
        <v>1544</v>
      </c>
      <c r="G389" s="160"/>
      <c r="H389" s="160"/>
      <c r="I389" s="160"/>
      <c r="J389" s="160"/>
      <c r="K389" s="160"/>
      <c r="L389" s="160"/>
      <c r="M389" s="160"/>
      <c r="N389" s="160"/>
      <c r="O389" s="160"/>
      <c r="P389" s="160"/>
      <c r="Q389" s="160"/>
      <c r="R389" s="160"/>
      <c r="S389" s="160"/>
      <c r="T389" s="160"/>
      <c r="U389" s="160"/>
      <c r="V389" s="83" t="s">
        <v>1575</v>
      </c>
      <c r="W389" s="162"/>
    </row>
    <row r="390" spans="1:23" s="84" customFormat="1" ht="24.95" customHeight="1" x14ac:dyDescent="0.2">
      <c r="A390" s="80"/>
      <c r="B390" s="157"/>
      <c r="C390" s="159"/>
      <c r="D390" s="81" t="s">
        <v>1568</v>
      </c>
      <c r="E390" s="82" t="s">
        <v>1991</v>
      </c>
      <c r="F390" s="82" t="s">
        <v>1051</v>
      </c>
      <c r="G390" s="160"/>
      <c r="H390" s="160"/>
      <c r="I390" s="160"/>
      <c r="J390" s="160"/>
      <c r="K390" s="160"/>
      <c r="L390" s="160"/>
      <c r="M390" s="160"/>
      <c r="N390" s="160"/>
      <c r="O390" s="160"/>
      <c r="P390" s="160"/>
      <c r="Q390" s="160"/>
      <c r="R390" s="160"/>
      <c r="S390" s="160"/>
      <c r="T390" s="160"/>
      <c r="U390" s="160"/>
      <c r="V390" s="83" t="s">
        <v>1575</v>
      </c>
      <c r="W390" s="162"/>
    </row>
    <row r="391" spans="1:23" s="84" customFormat="1" ht="25.5" x14ac:dyDescent="0.2">
      <c r="A391" s="80"/>
      <c r="B391" s="157"/>
      <c r="C391" s="159"/>
      <c r="D391" s="81" t="s">
        <v>1568</v>
      </c>
      <c r="E391" s="82" t="s">
        <v>2119</v>
      </c>
      <c r="F391" s="82" t="s">
        <v>1169</v>
      </c>
      <c r="G391" s="160"/>
      <c r="H391" s="160"/>
      <c r="I391" s="160"/>
      <c r="J391" s="160"/>
      <c r="K391" s="160"/>
      <c r="L391" s="160"/>
      <c r="M391" s="160"/>
      <c r="N391" s="160"/>
      <c r="O391" s="160"/>
      <c r="P391" s="160"/>
      <c r="Q391" s="160"/>
      <c r="R391" s="160"/>
      <c r="S391" s="160"/>
      <c r="T391" s="160"/>
      <c r="U391" s="160"/>
      <c r="V391" s="83" t="s">
        <v>1575</v>
      </c>
      <c r="W391" s="162"/>
    </row>
    <row r="392" spans="1:23" s="84" customFormat="1" ht="25.5" x14ac:dyDescent="0.2">
      <c r="A392" s="80"/>
      <c r="B392" s="157"/>
      <c r="C392" s="159"/>
      <c r="D392" s="81" t="s">
        <v>1568</v>
      </c>
      <c r="E392" s="82" t="s">
        <v>1713</v>
      </c>
      <c r="F392" s="82" t="s">
        <v>1123</v>
      </c>
      <c r="G392" s="160"/>
      <c r="H392" s="160"/>
      <c r="I392" s="160"/>
      <c r="J392" s="160"/>
      <c r="K392" s="160"/>
      <c r="L392" s="160"/>
      <c r="M392" s="160"/>
      <c r="N392" s="160"/>
      <c r="O392" s="160"/>
      <c r="P392" s="160"/>
      <c r="Q392" s="160"/>
      <c r="R392" s="160"/>
      <c r="S392" s="160"/>
      <c r="T392" s="160"/>
      <c r="U392" s="160"/>
      <c r="V392" s="83" t="s">
        <v>1575</v>
      </c>
      <c r="W392" s="162"/>
    </row>
    <row r="393" spans="1:23" s="84" customFormat="1" ht="25.5" x14ac:dyDescent="0.2">
      <c r="A393" s="80"/>
      <c r="B393" s="157"/>
      <c r="C393" s="159"/>
      <c r="D393" s="81" t="s">
        <v>1568</v>
      </c>
      <c r="E393" s="82" t="s">
        <v>2132</v>
      </c>
      <c r="F393" s="82" t="s">
        <v>1147</v>
      </c>
      <c r="G393" s="160"/>
      <c r="H393" s="160"/>
      <c r="I393" s="160"/>
      <c r="J393" s="160"/>
      <c r="K393" s="160"/>
      <c r="L393" s="160"/>
      <c r="M393" s="160"/>
      <c r="N393" s="160"/>
      <c r="O393" s="160"/>
      <c r="P393" s="160"/>
      <c r="Q393" s="160"/>
      <c r="R393" s="160"/>
      <c r="S393" s="160"/>
      <c r="T393" s="160"/>
      <c r="U393" s="160"/>
      <c r="V393" s="83" t="s">
        <v>1575</v>
      </c>
      <c r="W393" s="162"/>
    </row>
    <row r="394" spans="1:23" s="84" customFormat="1" ht="25.5" x14ac:dyDescent="0.2">
      <c r="A394" s="80"/>
      <c r="B394" s="158"/>
      <c r="C394" s="159"/>
      <c r="D394" s="81" t="s">
        <v>1568</v>
      </c>
      <c r="E394" s="82" t="s">
        <v>2085</v>
      </c>
      <c r="F394" s="82" t="s">
        <v>1035</v>
      </c>
      <c r="G394" s="160"/>
      <c r="H394" s="160"/>
      <c r="I394" s="160"/>
      <c r="J394" s="160"/>
      <c r="K394" s="160"/>
      <c r="L394" s="160"/>
      <c r="M394" s="160"/>
      <c r="N394" s="160"/>
      <c r="O394" s="160"/>
      <c r="P394" s="160"/>
      <c r="Q394" s="160"/>
      <c r="R394" s="160"/>
      <c r="S394" s="160"/>
      <c r="T394" s="160"/>
      <c r="U394" s="160"/>
      <c r="V394" s="83" t="s">
        <v>1575</v>
      </c>
      <c r="W394" s="163"/>
    </row>
    <row r="395" spans="1:23" ht="14.25" customHeight="1" x14ac:dyDescent="0.15">
      <c r="A395" s="165" t="s">
        <v>2627</v>
      </c>
      <c r="B395" s="168" t="s">
        <v>2693</v>
      </c>
      <c r="C395" s="171" t="s">
        <v>2338</v>
      </c>
      <c r="D395" s="67" t="s">
        <v>939</v>
      </c>
      <c r="E395" s="68" t="s">
        <v>2134</v>
      </c>
      <c r="F395" s="68" t="s">
        <v>966</v>
      </c>
      <c r="G395" s="69" t="s">
        <v>1497</v>
      </c>
      <c r="H395" s="69" t="s">
        <v>998</v>
      </c>
      <c r="I395" s="73" t="s">
        <v>40</v>
      </c>
      <c r="J395" s="73" t="s">
        <v>958</v>
      </c>
      <c r="K395" s="69" t="s">
        <v>1482</v>
      </c>
      <c r="L395" s="69" t="s">
        <v>958</v>
      </c>
      <c r="M395" s="69" t="s">
        <v>834</v>
      </c>
      <c r="N395" s="69" t="s">
        <v>958</v>
      </c>
      <c r="O395" s="69" t="s">
        <v>1530</v>
      </c>
      <c r="P395" s="69" t="s">
        <v>966</v>
      </c>
      <c r="Q395" s="69" t="s">
        <v>579</v>
      </c>
      <c r="R395" s="69" t="s">
        <v>1311</v>
      </c>
      <c r="S395" s="69"/>
      <c r="T395" s="69"/>
      <c r="U395" s="69" t="s">
        <v>1556</v>
      </c>
      <c r="V395" s="71" t="s">
        <v>1572</v>
      </c>
      <c r="W395" s="71"/>
    </row>
    <row r="396" spans="1:23" x14ac:dyDescent="0.15">
      <c r="A396" s="166"/>
      <c r="B396" s="169"/>
      <c r="C396" s="171"/>
      <c r="D396" s="67" t="s">
        <v>939</v>
      </c>
      <c r="E396" s="68" t="s">
        <v>2151</v>
      </c>
      <c r="F396" s="68" t="s">
        <v>961</v>
      </c>
      <c r="G396" s="69" t="s">
        <v>1497</v>
      </c>
      <c r="H396" s="69" t="s">
        <v>998</v>
      </c>
      <c r="I396" s="73" t="s">
        <v>40</v>
      </c>
      <c r="J396" s="73" t="s">
        <v>958</v>
      </c>
      <c r="K396" s="69" t="s">
        <v>1482</v>
      </c>
      <c r="L396" s="69" t="s">
        <v>958</v>
      </c>
      <c r="M396" s="69" t="s">
        <v>834</v>
      </c>
      <c r="N396" s="69" t="s">
        <v>958</v>
      </c>
      <c r="O396" s="69" t="s">
        <v>1530</v>
      </c>
      <c r="P396" s="69" t="s">
        <v>961</v>
      </c>
      <c r="Q396" s="69" t="s">
        <v>579</v>
      </c>
      <c r="R396" s="69" t="s">
        <v>1311</v>
      </c>
      <c r="S396" s="69"/>
      <c r="T396" s="69"/>
      <c r="U396" s="69" t="s">
        <v>1556</v>
      </c>
      <c r="V396" s="71" t="s">
        <v>1572</v>
      </c>
      <c r="W396" s="71"/>
    </row>
    <row r="397" spans="1:23" x14ac:dyDescent="0.15">
      <c r="A397" s="166"/>
      <c r="B397" s="169"/>
      <c r="C397" s="171"/>
      <c r="D397" s="67" t="s">
        <v>939</v>
      </c>
      <c r="E397" s="68" t="s">
        <v>2120</v>
      </c>
      <c r="F397" s="68" t="s">
        <v>931</v>
      </c>
      <c r="G397" s="69" t="s">
        <v>1497</v>
      </c>
      <c r="H397" s="69" t="s">
        <v>998</v>
      </c>
      <c r="I397" s="73" t="s">
        <v>40</v>
      </c>
      <c r="J397" s="73" t="s">
        <v>958</v>
      </c>
      <c r="K397" s="69" t="s">
        <v>1482</v>
      </c>
      <c r="L397" s="69" t="s">
        <v>958</v>
      </c>
      <c r="M397" s="69" t="s">
        <v>834</v>
      </c>
      <c r="N397" s="69" t="s">
        <v>958</v>
      </c>
      <c r="O397" s="69" t="s">
        <v>1530</v>
      </c>
      <c r="P397" s="69" t="s">
        <v>931</v>
      </c>
      <c r="Q397" s="69" t="s">
        <v>579</v>
      </c>
      <c r="R397" s="69" t="s">
        <v>1311</v>
      </c>
      <c r="S397" s="69"/>
      <c r="T397" s="69"/>
      <c r="U397" s="69" t="s">
        <v>1556</v>
      </c>
      <c r="V397" s="71" t="s">
        <v>1572</v>
      </c>
      <c r="W397" s="71"/>
    </row>
    <row r="398" spans="1:23" x14ac:dyDescent="0.15">
      <c r="A398" s="166"/>
      <c r="B398" s="169"/>
      <c r="C398" s="171"/>
      <c r="D398" s="67" t="s">
        <v>939</v>
      </c>
      <c r="E398" s="68" t="s">
        <v>2173</v>
      </c>
      <c r="F398" s="68" t="s">
        <v>921</v>
      </c>
      <c r="G398" s="69" t="s">
        <v>1497</v>
      </c>
      <c r="H398" s="69" t="s">
        <v>998</v>
      </c>
      <c r="I398" s="73" t="s">
        <v>40</v>
      </c>
      <c r="J398" s="73" t="s">
        <v>958</v>
      </c>
      <c r="K398" s="69" t="s">
        <v>1482</v>
      </c>
      <c r="L398" s="69" t="s">
        <v>958</v>
      </c>
      <c r="M398" s="69" t="s">
        <v>834</v>
      </c>
      <c r="N398" s="69" t="s">
        <v>958</v>
      </c>
      <c r="O398" s="69" t="s">
        <v>1530</v>
      </c>
      <c r="P398" s="69" t="s">
        <v>921</v>
      </c>
      <c r="Q398" s="69" t="s">
        <v>579</v>
      </c>
      <c r="R398" s="69" t="s">
        <v>1311</v>
      </c>
      <c r="S398" s="69"/>
      <c r="T398" s="69"/>
      <c r="U398" s="69" t="s">
        <v>1556</v>
      </c>
      <c r="V398" s="71" t="s">
        <v>1572</v>
      </c>
      <c r="W398" s="71"/>
    </row>
    <row r="399" spans="1:23" x14ac:dyDescent="0.15">
      <c r="A399" s="166"/>
      <c r="B399" s="169"/>
      <c r="C399" s="171"/>
      <c r="D399" s="67" t="s">
        <v>1568</v>
      </c>
      <c r="E399" s="68" t="s">
        <v>2127</v>
      </c>
      <c r="F399" s="68" t="s">
        <v>2299</v>
      </c>
      <c r="G399" s="69" t="s">
        <v>1497</v>
      </c>
      <c r="H399" s="69" t="s">
        <v>998</v>
      </c>
      <c r="I399" s="73" t="s">
        <v>40</v>
      </c>
      <c r="J399" s="73" t="s">
        <v>958</v>
      </c>
      <c r="K399" s="69" t="s">
        <v>1482</v>
      </c>
      <c r="L399" s="69" t="s">
        <v>958</v>
      </c>
      <c r="M399" s="69" t="s">
        <v>834</v>
      </c>
      <c r="N399" s="69" t="s">
        <v>958</v>
      </c>
      <c r="O399" s="69" t="s">
        <v>1530</v>
      </c>
      <c r="P399" s="69" t="s">
        <v>2299</v>
      </c>
      <c r="Q399" s="69" t="s">
        <v>579</v>
      </c>
      <c r="R399" s="69" t="s">
        <v>1311</v>
      </c>
      <c r="S399" s="69"/>
      <c r="T399" s="69"/>
      <c r="U399" s="69" t="s">
        <v>1556</v>
      </c>
      <c r="V399" s="71" t="s">
        <v>1572</v>
      </c>
      <c r="W399" s="71"/>
    </row>
    <row r="400" spans="1:23" ht="22.5" customHeight="1" x14ac:dyDescent="0.15">
      <c r="A400" s="166"/>
      <c r="B400" s="169"/>
      <c r="C400" s="168" t="s">
        <v>2565</v>
      </c>
      <c r="D400" s="67" t="s">
        <v>1568</v>
      </c>
      <c r="E400" s="68" t="s">
        <v>2301</v>
      </c>
      <c r="F400" s="68" t="s">
        <v>2240</v>
      </c>
      <c r="G400" s="69" t="s">
        <v>85</v>
      </c>
      <c r="H400" s="69" t="s">
        <v>1751</v>
      </c>
      <c r="I400" s="73" t="s">
        <v>2661</v>
      </c>
      <c r="J400" s="73" t="s">
        <v>1427</v>
      </c>
      <c r="K400" s="69" t="s">
        <v>338</v>
      </c>
      <c r="L400" s="69" t="s">
        <v>1427</v>
      </c>
      <c r="M400" s="69" t="s">
        <v>1421</v>
      </c>
      <c r="N400" s="69" t="s">
        <v>987</v>
      </c>
      <c r="O400" s="69" t="s">
        <v>558</v>
      </c>
      <c r="P400" s="69" t="s">
        <v>2240</v>
      </c>
      <c r="Q400" s="69" t="s">
        <v>1439</v>
      </c>
      <c r="R400" s="69" t="s">
        <v>1185</v>
      </c>
      <c r="S400" s="69"/>
      <c r="T400" s="69"/>
      <c r="U400" s="69" t="s">
        <v>1556</v>
      </c>
      <c r="V400" s="71" t="s">
        <v>1572</v>
      </c>
      <c r="W400" s="71"/>
    </row>
    <row r="401" spans="1:23" s="84" customFormat="1" ht="24.95" customHeight="1" x14ac:dyDescent="0.2">
      <c r="A401" s="166"/>
      <c r="B401" s="169"/>
      <c r="C401" s="169"/>
      <c r="D401" s="81" t="s">
        <v>939</v>
      </c>
      <c r="E401" s="82" t="s">
        <v>2102</v>
      </c>
      <c r="F401" s="82" t="s">
        <v>2158</v>
      </c>
      <c r="G401" s="172" t="s">
        <v>1557</v>
      </c>
      <c r="H401" s="173"/>
      <c r="I401" s="173"/>
      <c r="J401" s="173"/>
      <c r="K401" s="173"/>
      <c r="L401" s="173"/>
      <c r="M401" s="173"/>
      <c r="N401" s="173"/>
      <c r="O401" s="173"/>
      <c r="P401" s="173"/>
      <c r="Q401" s="173"/>
      <c r="R401" s="173"/>
      <c r="S401" s="173"/>
      <c r="T401" s="173"/>
      <c r="U401" s="174"/>
      <c r="V401" s="68" t="s">
        <v>1575</v>
      </c>
      <c r="W401" s="164" t="s">
        <v>1359</v>
      </c>
    </row>
    <row r="402" spans="1:23" s="84" customFormat="1" x14ac:dyDescent="0.2">
      <c r="A402" s="166"/>
      <c r="B402" s="170"/>
      <c r="C402" s="170"/>
      <c r="D402" s="81" t="s">
        <v>1568</v>
      </c>
      <c r="E402" s="82" t="s">
        <v>2082</v>
      </c>
      <c r="F402" s="82" t="s">
        <v>880</v>
      </c>
      <c r="G402" s="175"/>
      <c r="H402" s="176"/>
      <c r="I402" s="176"/>
      <c r="J402" s="176"/>
      <c r="K402" s="176"/>
      <c r="L402" s="176"/>
      <c r="M402" s="176"/>
      <c r="N402" s="176"/>
      <c r="O402" s="176"/>
      <c r="P402" s="176"/>
      <c r="Q402" s="176"/>
      <c r="R402" s="176"/>
      <c r="S402" s="176"/>
      <c r="T402" s="176"/>
      <c r="U402" s="177"/>
      <c r="V402" s="68" t="s">
        <v>1575</v>
      </c>
      <c r="W402" s="164"/>
    </row>
    <row r="403" spans="1:23" ht="25.5" customHeight="1" x14ac:dyDescent="0.15">
      <c r="A403" s="166"/>
      <c r="B403" s="165" t="s">
        <v>119</v>
      </c>
      <c r="C403" s="171" t="s">
        <v>1263</v>
      </c>
      <c r="D403" s="67" t="s">
        <v>1568</v>
      </c>
      <c r="E403" s="68" t="s">
        <v>1771</v>
      </c>
      <c r="F403" s="68" t="s">
        <v>1094</v>
      </c>
      <c r="G403" s="69" t="s">
        <v>1519</v>
      </c>
      <c r="H403" s="69" t="s">
        <v>1084</v>
      </c>
      <c r="I403" s="73" t="s">
        <v>791</v>
      </c>
      <c r="J403" s="73" t="s">
        <v>2008</v>
      </c>
      <c r="K403" s="69" t="s">
        <v>544</v>
      </c>
      <c r="L403" s="69" t="s">
        <v>2008</v>
      </c>
      <c r="M403" s="69" t="s">
        <v>600</v>
      </c>
      <c r="N403" s="69" t="s">
        <v>2008</v>
      </c>
      <c r="O403" s="69" t="s">
        <v>1506</v>
      </c>
      <c r="P403" s="69" t="s">
        <v>1094</v>
      </c>
      <c r="Q403" s="69" t="s">
        <v>799</v>
      </c>
      <c r="R403" s="69" t="s">
        <v>1140</v>
      </c>
      <c r="S403" s="69"/>
      <c r="T403" s="69"/>
      <c r="U403" s="69" t="s">
        <v>1556</v>
      </c>
      <c r="V403" s="71" t="s">
        <v>1572</v>
      </c>
      <c r="W403" s="71"/>
    </row>
    <row r="404" spans="1:23" ht="25.5" x14ac:dyDescent="0.15">
      <c r="A404" s="166"/>
      <c r="B404" s="166"/>
      <c r="C404" s="171"/>
      <c r="D404" s="67" t="s">
        <v>1568</v>
      </c>
      <c r="E404" s="68" t="s">
        <v>1730</v>
      </c>
      <c r="F404" s="68" t="s">
        <v>1181</v>
      </c>
      <c r="G404" s="69" t="s">
        <v>1519</v>
      </c>
      <c r="H404" s="69" t="s">
        <v>1084</v>
      </c>
      <c r="I404" s="73" t="s">
        <v>791</v>
      </c>
      <c r="J404" s="73" t="s">
        <v>2008</v>
      </c>
      <c r="K404" s="69" t="s">
        <v>544</v>
      </c>
      <c r="L404" s="69" t="s">
        <v>2008</v>
      </c>
      <c r="M404" s="69" t="s">
        <v>600</v>
      </c>
      <c r="N404" s="69" t="s">
        <v>2008</v>
      </c>
      <c r="O404" s="69" t="s">
        <v>1506</v>
      </c>
      <c r="P404" s="69" t="s">
        <v>1181</v>
      </c>
      <c r="Q404" s="69" t="s">
        <v>799</v>
      </c>
      <c r="R404" s="69" t="s">
        <v>1140</v>
      </c>
      <c r="S404" s="69"/>
      <c r="T404" s="69"/>
      <c r="U404" s="69" t="s">
        <v>1556</v>
      </c>
      <c r="V404" s="71" t="s">
        <v>1572</v>
      </c>
      <c r="W404" s="71"/>
    </row>
    <row r="405" spans="1:23" ht="25.5" x14ac:dyDescent="0.15">
      <c r="A405" s="166"/>
      <c r="B405" s="166"/>
      <c r="C405" s="171"/>
      <c r="D405" s="67" t="s">
        <v>1568</v>
      </c>
      <c r="E405" s="68" t="s">
        <v>2175</v>
      </c>
      <c r="F405" s="68" t="s">
        <v>1078</v>
      </c>
      <c r="G405" s="69" t="s">
        <v>1519</v>
      </c>
      <c r="H405" s="69" t="s">
        <v>1084</v>
      </c>
      <c r="I405" s="73" t="s">
        <v>791</v>
      </c>
      <c r="J405" s="73" t="s">
        <v>2008</v>
      </c>
      <c r="K405" s="69" t="s">
        <v>544</v>
      </c>
      <c r="L405" s="69" t="s">
        <v>2008</v>
      </c>
      <c r="M405" s="69" t="s">
        <v>600</v>
      </c>
      <c r="N405" s="69" t="s">
        <v>2008</v>
      </c>
      <c r="O405" s="69" t="s">
        <v>1506</v>
      </c>
      <c r="P405" s="69" t="s">
        <v>1078</v>
      </c>
      <c r="Q405" s="69" t="s">
        <v>799</v>
      </c>
      <c r="R405" s="69" t="s">
        <v>1140</v>
      </c>
      <c r="S405" s="69"/>
      <c r="T405" s="69"/>
      <c r="U405" s="69" t="s">
        <v>1556</v>
      </c>
      <c r="V405" s="71" t="s">
        <v>1572</v>
      </c>
      <c r="W405" s="71"/>
    </row>
    <row r="406" spans="1:23" ht="25.5" x14ac:dyDescent="0.15">
      <c r="A406" s="166"/>
      <c r="B406" s="166"/>
      <c r="C406" s="171"/>
      <c r="D406" s="67" t="s">
        <v>1568</v>
      </c>
      <c r="E406" s="68" t="s">
        <v>2116</v>
      </c>
      <c r="F406" s="68" t="s">
        <v>1034</v>
      </c>
      <c r="G406" s="69" t="s">
        <v>1519</v>
      </c>
      <c r="H406" s="69" t="s">
        <v>1084</v>
      </c>
      <c r="I406" s="73" t="s">
        <v>791</v>
      </c>
      <c r="J406" s="73" t="s">
        <v>2008</v>
      </c>
      <c r="K406" s="69" t="s">
        <v>544</v>
      </c>
      <c r="L406" s="69" t="s">
        <v>2008</v>
      </c>
      <c r="M406" s="69" t="s">
        <v>600</v>
      </c>
      <c r="N406" s="69" t="s">
        <v>2008</v>
      </c>
      <c r="O406" s="69" t="s">
        <v>1506</v>
      </c>
      <c r="P406" s="69" t="s">
        <v>1034</v>
      </c>
      <c r="Q406" s="69" t="s">
        <v>799</v>
      </c>
      <c r="R406" s="69" t="s">
        <v>1140</v>
      </c>
      <c r="S406" s="69"/>
      <c r="T406" s="69"/>
      <c r="U406" s="69" t="s">
        <v>1556</v>
      </c>
      <c r="V406" s="71" t="s">
        <v>1572</v>
      </c>
      <c r="W406" s="71"/>
    </row>
    <row r="407" spans="1:23" ht="25.5" x14ac:dyDescent="0.15">
      <c r="A407" s="166"/>
      <c r="B407" s="166"/>
      <c r="C407" s="171"/>
      <c r="D407" s="67" t="s">
        <v>1568</v>
      </c>
      <c r="E407" s="68" t="s">
        <v>2096</v>
      </c>
      <c r="F407" s="68" t="s">
        <v>1161</v>
      </c>
      <c r="G407" s="69" t="s">
        <v>1519</v>
      </c>
      <c r="H407" s="69" t="s">
        <v>1084</v>
      </c>
      <c r="I407" s="73" t="s">
        <v>791</v>
      </c>
      <c r="J407" s="73" t="s">
        <v>2008</v>
      </c>
      <c r="K407" s="69" t="s">
        <v>544</v>
      </c>
      <c r="L407" s="69" t="s">
        <v>2008</v>
      </c>
      <c r="M407" s="69" t="s">
        <v>600</v>
      </c>
      <c r="N407" s="69" t="s">
        <v>2008</v>
      </c>
      <c r="O407" s="69" t="s">
        <v>1506</v>
      </c>
      <c r="P407" s="69" t="s">
        <v>1161</v>
      </c>
      <c r="Q407" s="69" t="s">
        <v>799</v>
      </c>
      <c r="R407" s="69" t="s">
        <v>1140</v>
      </c>
      <c r="S407" s="69"/>
      <c r="T407" s="69"/>
      <c r="U407" s="69" t="s">
        <v>1556</v>
      </c>
      <c r="V407" s="71" t="s">
        <v>1572</v>
      </c>
      <c r="W407" s="71"/>
    </row>
    <row r="408" spans="1:23" ht="25.5" x14ac:dyDescent="0.15">
      <c r="A408" s="166"/>
      <c r="B408" s="166"/>
      <c r="C408" s="171"/>
      <c r="D408" s="67" t="s">
        <v>1568</v>
      </c>
      <c r="E408" s="68" t="s">
        <v>2367</v>
      </c>
      <c r="F408" s="68" t="s">
        <v>1110</v>
      </c>
      <c r="G408" s="69" t="s">
        <v>1519</v>
      </c>
      <c r="H408" s="69" t="s">
        <v>1084</v>
      </c>
      <c r="I408" s="73" t="s">
        <v>791</v>
      </c>
      <c r="J408" s="73" t="s">
        <v>2008</v>
      </c>
      <c r="K408" s="69" t="s">
        <v>544</v>
      </c>
      <c r="L408" s="69" t="s">
        <v>2008</v>
      </c>
      <c r="M408" s="69" t="s">
        <v>600</v>
      </c>
      <c r="N408" s="69" t="s">
        <v>2008</v>
      </c>
      <c r="O408" s="69" t="s">
        <v>1506</v>
      </c>
      <c r="P408" s="69" t="s">
        <v>1110</v>
      </c>
      <c r="Q408" s="69" t="s">
        <v>799</v>
      </c>
      <c r="R408" s="69" t="s">
        <v>1140</v>
      </c>
      <c r="S408" s="69"/>
      <c r="T408" s="69"/>
      <c r="U408" s="69" t="s">
        <v>1556</v>
      </c>
      <c r="V408" s="71" t="s">
        <v>1572</v>
      </c>
      <c r="W408" s="71"/>
    </row>
    <row r="409" spans="1:23" ht="25.5" x14ac:dyDescent="0.15">
      <c r="A409" s="166"/>
      <c r="B409" s="166"/>
      <c r="C409" s="171"/>
      <c r="D409" s="67" t="s">
        <v>1568</v>
      </c>
      <c r="E409" s="68" t="s">
        <v>1986</v>
      </c>
      <c r="F409" s="68" t="s">
        <v>1137</v>
      </c>
      <c r="G409" s="69" t="s">
        <v>1519</v>
      </c>
      <c r="H409" s="69" t="s">
        <v>1084</v>
      </c>
      <c r="I409" s="73" t="s">
        <v>791</v>
      </c>
      <c r="J409" s="73" t="s">
        <v>2008</v>
      </c>
      <c r="K409" s="69" t="s">
        <v>544</v>
      </c>
      <c r="L409" s="69" t="s">
        <v>2008</v>
      </c>
      <c r="M409" s="69" t="s">
        <v>600</v>
      </c>
      <c r="N409" s="69" t="s">
        <v>2008</v>
      </c>
      <c r="O409" s="69" t="s">
        <v>1506</v>
      </c>
      <c r="P409" s="69" t="s">
        <v>1137</v>
      </c>
      <c r="Q409" s="69" t="s">
        <v>799</v>
      </c>
      <c r="R409" s="69" t="s">
        <v>1140</v>
      </c>
      <c r="S409" s="69"/>
      <c r="T409" s="69"/>
      <c r="U409" s="69" t="s">
        <v>1556</v>
      </c>
      <c r="V409" s="71" t="s">
        <v>1572</v>
      </c>
      <c r="W409" s="71"/>
    </row>
    <row r="410" spans="1:23" ht="25.5" x14ac:dyDescent="0.15">
      <c r="A410" s="166"/>
      <c r="B410" s="166"/>
      <c r="C410" s="171"/>
      <c r="D410" s="67" t="s">
        <v>1568</v>
      </c>
      <c r="E410" s="68" t="s">
        <v>2166</v>
      </c>
      <c r="F410" s="68" t="s">
        <v>1104</v>
      </c>
      <c r="G410" s="69" t="s">
        <v>1519</v>
      </c>
      <c r="H410" s="69" t="s">
        <v>1084</v>
      </c>
      <c r="I410" s="73" t="s">
        <v>791</v>
      </c>
      <c r="J410" s="73" t="s">
        <v>2008</v>
      </c>
      <c r="K410" s="69" t="s">
        <v>544</v>
      </c>
      <c r="L410" s="69" t="s">
        <v>2008</v>
      </c>
      <c r="M410" s="69" t="s">
        <v>600</v>
      </c>
      <c r="N410" s="69" t="s">
        <v>2008</v>
      </c>
      <c r="O410" s="69" t="s">
        <v>1506</v>
      </c>
      <c r="P410" s="69" t="s">
        <v>1104</v>
      </c>
      <c r="Q410" s="69" t="s">
        <v>799</v>
      </c>
      <c r="R410" s="69" t="s">
        <v>1140</v>
      </c>
      <c r="S410" s="69"/>
      <c r="T410" s="69"/>
      <c r="U410" s="69" t="s">
        <v>1556</v>
      </c>
      <c r="V410" s="71" t="s">
        <v>1572</v>
      </c>
      <c r="W410" s="71"/>
    </row>
    <row r="411" spans="1:23" ht="25.5" x14ac:dyDescent="0.15">
      <c r="A411" s="166"/>
      <c r="B411" s="166"/>
      <c r="C411" s="171"/>
      <c r="D411" s="67" t="s">
        <v>1568</v>
      </c>
      <c r="E411" s="68" t="s">
        <v>2543</v>
      </c>
      <c r="F411" s="68" t="s">
        <v>1027</v>
      </c>
      <c r="G411" s="69" t="s">
        <v>1519</v>
      </c>
      <c r="H411" s="69" t="s">
        <v>1084</v>
      </c>
      <c r="I411" s="73" t="s">
        <v>791</v>
      </c>
      <c r="J411" s="73" t="s">
        <v>2008</v>
      </c>
      <c r="K411" s="69" t="s">
        <v>544</v>
      </c>
      <c r="L411" s="69" t="s">
        <v>2008</v>
      </c>
      <c r="M411" s="69" t="s">
        <v>600</v>
      </c>
      <c r="N411" s="69" t="s">
        <v>2008</v>
      </c>
      <c r="O411" s="69" t="s">
        <v>1506</v>
      </c>
      <c r="P411" s="69" t="s">
        <v>1027</v>
      </c>
      <c r="Q411" s="69" t="s">
        <v>799</v>
      </c>
      <c r="R411" s="69" t="s">
        <v>1140</v>
      </c>
      <c r="S411" s="69"/>
      <c r="T411" s="69"/>
      <c r="U411" s="69" t="s">
        <v>1591</v>
      </c>
      <c r="V411" s="71" t="s">
        <v>1572</v>
      </c>
      <c r="W411" s="71"/>
    </row>
    <row r="412" spans="1:23" ht="25.5" x14ac:dyDescent="0.15">
      <c r="A412" s="166"/>
      <c r="B412" s="166"/>
      <c r="C412" s="171"/>
      <c r="D412" s="67" t="s">
        <v>1568</v>
      </c>
      <c r="E412" s="68" t="s">
        <v>2007</v>
      </c>
      <c r="F412" s="68" t="s">
        <v>1144</v>
      </c>
      <c r="G412" s="69" t="s">
        <v>1519</v>
      </c>
      <c r="H412" s="69" t="s">
        <v>1084</v>
      </c>
      <c r="I412" s="73" t="s">
        <v>791</v>
      </c>
      <c r="J412" s="73" t="s">
        <v>2008</v>
      </c>
      <c r="K412" s="69" t="s">
        <v>544</v>
      </c>
      <c r="L412" s="69" t="s">
        <v>2008</v>
      </c>
      <c r="M412" s="69" t="s">
        <v>600</v>
      </c>
      <c r="N412" s="69" t="s">
        <v>2008</v>
      </c>
      <c r="O412" s="69" t="s">
        <v>1506</v>
      </c>
      <c r="P412" s="69" t="s">
        <v>1144</v>
      </c>
      <c r="Q412" s="69" t="s">
        <v>799</v>
      </c>
      <c r="R412" s="69" t="s">
        <v>1140</v>
      </c>
      <c r="S412" s="69"/>
      <c r="T412" s="69"/>
      <c r="U412" s="69" t="s">
        <v>1591</v>
      </c>
      <c r="V412" s="71" t="s">
        <v>1572</v>
      </c>
      <c r="W412" s="71"/>
    </row>
    <row r="413" spans="1:23" ht="25.5" x14ac:dyDescent="0.15">
      <c r="A413" s="166"/>
      <c r="B413" s="166"/>
      <c r="C413" s="171"/>
      <c r="D413" s="67" t="s">
        <v>1568</v>
      </c>
      <c r="E413" s="68" t="s">
        <v>2489</v>
      </c>
      <c r="F413" s="68" t="s">
        <v>1060</v>
      </c>
      <c r="G413" s="69" t="s">
        <v>1519</v>
      </c>
      <c r="H413" s="69" t="s">
        <v>1084</v>
      </c>
      <c r="I413" s="73" t="s">
        <v>791</v>
      </c>
      <c r="J413" s="73" t="s">
        <v>2008</v>
      </c>
      <c r="K413" s="69" t="s">
        <v>544</v>
      </c>
      <c r="L413" s="69" t="s">
        <v>2008</v>
      </c>
      <c r="M413" s="69" t="s">
        <v>600</v>
      </c>
      <c r="N413" s="69" t="s">
        <v>2008</v>
      </c>
      <c r="O413" s="69" t="s">
        <v>1506</v>
      </c>
      <c r="P413" s="69" t="s">
        <v>1060</v>
      </c>
      <c r="Q413" s="69" t="s">
        <v>799</v>
      </c>
      <c r="R413" s="69" t="s">
        <v>1140</v>
      </c>
      <c r="S413" s="69"/>
      <c r="T413" s="69"/>
      <c r="U413" s="69" t="s">
        <v>1591</v>
      </c>
      <c r="V413" s="71" t="s">
        <v>1572</v>
      </c>
      <c r="W413" s="71"/>
    </row>
    <row r="414" spans="1:23" ht="25.5" x14ac:dyDescent="0.15">
      <c r="A414" s="166"/>
      <c r="B414" s="166"/>
      <c r="C414" s="171"/>
      <c r="D414" s="67" t="s">
        <v>1568</v>
      </c>
      <c r="E414" s="68" t="s">
        <v>2527</v>
      </c>
      <c r="F414" s="68" t="s">
        <v>1076</v>
      </c>
      <c r="G414" s="69" t="s">
        <v>1519</v>
      </c>
      <c r="H414" s="69" t="s">
        <v>1084</v>
      </c>
      <c r="I414" s="73" t="s">
        <v>791</v>
      </c>
      <c r="J414" s="73" t="s">
        <v>2008</v>
      </c>
      <c r="K414" s="69" t="s">
        <v>544</v>
      </c>
      <c r="L414" s="69" t="s">
        <v>2008</v>
      </c>
      <c r="M414" s="69" t="s">
        <v>600</v>
      </c>
      <c r="N414" s="69" t="s">
        <v>2008</v>
      </c>
      <c r="O414" s="69" t="s">
        <v>1506</v>
      </c>
      <c r="P414" s="69" t="s">
        <v>1076</v>
      </c>
      <c r="Q414" s="69" t="s">
        <v>799</v>
      </c>
      <c r="R414" s="69" t="s">
        <v>1140</v>
      </c>
      <c r="S414" s="69"/>
      <c r="T414" s="69"/>
      <c r="U414" s="69" t="s">
        <v>1591</v>
      </c>
      <c r="V414" s="71" t="s">
        <v>1572</v>
      </c>
      <c r="W414" s="71"/>
    </row>
    <row r="415" spans="1:23" ht="25.5" x14ac:dyDescent="0.15">
      <c r="A415" s="166"/>
      <c r="B415" s="166"/>
      <c r="C415" s="171"/>
      <c r="D415" s="67" t="s">
        <v>1568</v>
      </c>
      <c r="E415" s="68" t="s">
        <v>2013</v>
      </c>
      <c r="F415" s="68" t="s">
        <v>1047</v>
      </c>
      <c r="G415" s="69" t="s">
        <v>1519</v>
      </c>
      <c r="H415" s="69" t="s">
        <v>1084</v>
      </c>
      <c r="I415" s="73" t="s">
        <v>791</v>
      </c>
      <c r="J415" s="73" t="s">
        <v>2008</v>
      </c>
      <c r="K415" s="69" t="s">
        <v>544</v>
      </c>
      <c r="L415" s="69" t="s">
        <v>2008</v>
      </c>
      <c r="M415" s="69" t="s">
        <v>600</v>
      </c>
      <c r="N415" s="69" t="s">
        <v>2008</v>
      </c>
      <c r="O415" s="69" t="s">
        <v>1506</v>
      </c>
      <c r="P415" s="69" t="s">
        <v>1047</v>
      </c>
      <c r="Q415" s="69" t="s">
        <v>799</v>
      </c>
      <c r="R415" s="69" t="s">
        <v>1140</v>
      </c>
      <c r="S415" s="69"/>
      <c r="T415" s="69"/>
      <c r="U415" s="69" t="s">
        <v>1591</v>
      </c>
      <c r="V415" s="71" t="s">
        <v>1572</v>
      </c>
      <c r="W415" s="71"/>
    </row>
    <row r="416" spans="1:23" ht="25.5" x14ac:dyDescent="0.15">
      <c r="A416" s="166"/>
      <c r="B416" s="166"/>
      <c r="C416" s="171"/>
      <c r="D416" s="67" t="s">
        <v>1568</v>
      </c>
      <c r="E416" s="68" t="s">
        <v>1874</v>
      </c>
      <c r="F416" s="68" t="s">
        <v>1056</v>
      </c>
      <c r="G416" s="69" t="s">
        <v>1519</v>
      </c>
      <c r="H416" s="69" t="s">
        <v>1084</v>
      </c>
      <c r="I416" s="73" t="s">
        <v>791</v>
      </c>
      <c r="J416" s="73" t="s">
        <v>2008</v>
      </c>
      <c r="K416" s="69" t="s">
        <v>544</v>
      </c>
      <c r="L416" s="69" t="s">
        <v>2008</v>
      </c>
      <c r="M416" s="69" t="s">
        <v>600</v>
      </c>
      <c r="N416" s="69" t="s">
        <v>2008</v>
      </c>
      <c r="O416" s="69" t="s">
        <v>1506</v>
      </c>
      <c r="P416" s="69" t="s">
        <v>1056</v>
      </c>
      <c r="Q416" s="69" t="s">
        <v>799</v>
      </c>
      <c r="R416" s="69" t="s">
        <v>1140</v>
      </c>
      <c r="S416" s="69"/>
      <c r="T416" s="69"/>
      <c r="U416" s="69" t="s">
        <v>1591</v>
      </c>
      <c r="V416" s="71" t="s">
        <v>1572</v>
      </c>
      <c r="W416" s="71"/>
    </row>
    <row r="417" spans="1:23" ht="25.5" x14ac:dyDescent="0.15">
      <c r="A417" s="166"/>
      <c r="B417" s="166"/>
      <c r="C417" s="171"/>
      <c r="D417" s="67" t="s">
        <v>1568</v>
      </c>
      <c r="E417" s="68" t="s">
        <v>2047</v>
      </c>
      <c r="F417" s="68" t="s">
        <v>1096</v>
      </c>
      <c r="G417" s="69" t="s">
        <v>1519</v>
      </c>
      <c r="H417" s="69" t="s">
        <v>1084</v>
      </c>
      <c r="I417" s="73" t="s">
        <v>791</v>
      </c>
      <c r="J417" s="73" t="s">
        <v>2008</v>
      </c>
      <c r="K417" s="69" t="s">
        <v>544</v>
      </c>
      <c r="L417" s="69" t="s">
        <v>2008</v>
      </c>
      <c r="M417" s="69" t="s">
        <v>600</v>
      </c>
      <c r="N417" s="69" t="s">
        <v>2008</v>
      </c>
      <c r="O417" s="69" t="s">
        <v>1506</v>
      </c>
      <c r="P417" s="69" t="s">
        <v>1096</v>
      </c>
      <c r="Q417" s="69" t="s">
        <v>799</v>
      </c>
      <c r="R417" s="69" t="s">
        <v>1140</v>
      </c>
      <c r="S417" s="69"/>
      <c r="T417" s="69"/>
      <c r="U417" s="69" t="s">
        <v>1591</v>
      </c>
      <c r="V417" s="71" t="s">
        <v>1572</v>
      </c>
      <c r="W417" s="71"/>
    </row>
    <row r="418" spans="1:23" ht="25.5" x14ac:dyDescent="0.15">
      <c r="A418" s="166"/>
      <c r="B418" s="166"/>
      <c r="C418" s="171"/>
      <c r="D418" s="67" t="s">
        <v>1568</v>
      </c>
      <c r="E418" s="68" t="s">
        <v>2056</v>
      </c>
      <c r="F418" s="68" t="s">
        <v>1139</v>
      </c>
      <c r="G418" s="69" t="s">
        <v>1519</v>
      </c>
      <c r="H418" s="69" t="s">
        <v>1084</v>
      </c>
      <c r="I418" s="73" t="s">
        <v>791</v>
      </c>
      <c r="J418" s="73" t="s">
        <v>2008</v>
      </c>
      <c r="K418" s="69" t="s">
        <v>544</v>
      </c>
      <c r="L418" s="69" t="s">
        <v>2008</v>
      </c>
      <c r="M418" s="69" t="s">
        <v>600</v>
      </c>
      <c r="N418" s="69" t="s">
        <v>2008</v>
      </c>
      <c r="O418" s="69" t="s">
        <v>1506</v>
      </c>
      <c r="P418" s="69" t="s">
        <v>1139</v>
      </c>
      <c r="Q418" s="69" t="s">
        <v>799</v>
      </c>
      <c r="R418" s="69" t="s">
        <v>1140</v>
      </c>
      <c r="S418" s="69"/>
      <c r="T418" s="69"/>
      <c r="U418" s="69" t="s">
        <v>1591</v>
      </c>
      <c r="V418" s="71" t="s">
        <v>1572</v>
      </c>
      <c r="W418" s="71"/>
    </row>
    <row r="419" spans="1:23" ht="25.5" x14ac:dyDescent="0.15">
      <c r="A419" s="166"/>
      <c r="B419" s="166"/>
      <c r="C419" s="171"/>
      <c r="D419" s="67" t="s">
        <v>1568</v>
      </c>
      <c r="E419" s="68" t="s">
        <v>1990</v>
      </c>
      <c r="F419" s="68" t="s">
        <v>1054</v>
      </c>
      <c r="G419" s="69" t="s">
        <v>1519</v>
      </c>
      <c r="H419" s="69" t="s">
        <v>1084</v>
      </c>
      <c r="I419" s="73" t="s">
        <v>791</v>
      </c>
      <c r="J419" s="73" t="s">
        <v>2008</v>
      </c>
      <c r="K419" s="69" t="s">
        <v>544</v>
      </c>
      <c r="L419" s="69" t="s">
        <v>2008</v>
      </c>
      <c r="M419" s="69" t="s">
        <v>600</v>
      </c>
      <c r="N419" s="69" t="s">
        <v>2008</v>
      </c>
      <c r="O419" s="69" t="s">
        <v>1506</v>
      </c>
      <c r="P419" s="69" t="s">
        <v>1054</v>
      </c>
      <c r="Q419" s="69" t="s">
        <v>799</v>
      </c>
      <c r="R419" s="69" t="s">
        <v>1140</v>
      </c>
      <c r="S419" s="69"/>
      <c r="T419" s="69"/>
      <c r="U419" s="69" t="s">
        <v>1556</v>
      </c>
      <c r="V419" s="71" t="s">
        <v>1572</v>
      </c>
      <c r="W419" s="71"/>
    </row>
    <row r="420" spans="1:23" ht="25.5" x14ac:dyDescent="0.15">
      <c r="A420" s="166"/>
      <c r="B420" s="166"/>
      <c r="C420" s="171"/>
      <c r="D420" s="67" t="s">
        <v>1568</v>
      </c>
      <c r="E420" s="68" t="s">
        <v>1773</v>
      </c>
      <c r="F420" s="68" t="s">
        <v>1132</v>
      </c>
      <c r="G420" s="69" t="s">
        <v>1519</v>
      </c>
      <c r="H420" s="69" t="s">
        <v>1084</v>
      </c>
      <c r="I420" s="73" t="s">
        <v>791</v>
      </c>
      <c r="J420" s="73" t="s">
        <v>2008</v>
      </c>
      <c r="K420" s="69" t="s">
        <v>544</v>
      </c>
      <c r="L420" s="69" t="s">
        <v>2008</v>
      </c>
      <c r="M420" s="69" t="s">
        <v>600</v>
      </c>
      <c r="N420" s="69" t="s">
        <v>2008</v>
      </c>
      <c r="O420" s="69" t="s">
        <v>1506</v>
      </c>
      <c r="P420" s="69" t="s">
        <v>1132</v>
      </c>
      <c r="Q420" s="69" t="s">
        <v>799</v>
      </c>
      <c r="R420" s="69" t="s">
        <v>1140</v>
      </c>
      <c r="S420" s="69"/>
      <c r="T420" s="69"/>
      <c r="U420" s="69" t="s">
        <v>1556</v>
      </c>
      <c r="V420" s="71" t="s">
        <v>1572</v>
      </c>
      <c r="W420" s="71"/>
    </row>
    <row r="421" spans="1:23" ht="25.5" x14ac:dyDescent="0.15">
      <c r="A421" s="166"/>
      <c r="B421" s="166"/>
      <c r="C421" s="171"/>
      <c r="D421" s="67" t="s">
        <v>1568</v>
      </c>
      <c r="E421" s="68" t="s">
        <v>1789</v>
      </c>
      <c r="F421" s="68" t="s">
        <v>1173</v>
      </c>
      <c r="G421" s="69" t="s">
        <v>1519</v>
      </c>
      <c r="H421" s="69" t="s">
        <v>1084</v>
      </c>
      <c r="I421" s="73" t="s">
        <v>791</v>
      </c>
      <c r="J421" s="73" t="s">
        <v>2008</v>
      </c>
      <c r="K421" s="69" t="s">
        <v>544</v>
      </c>
      <c r="L421" s="69" t="s">
        <v>2008</v>
      </c>
      <c r="M421" s="69" t="s">
        <v>600</v>
      </c>
      <c r="N421" s="69" t="s">
        <v>2008</v>
      </c>
      <c r="O421" s="69" t="s">
        <v>1506</v>
      </c>
      <c r="P421" s="69" t="s">
        <v>1173</v>
      </c>
      <c r="Q421" s="69" t="s">
        <v>799</v>
      </c>
      <c r="R421" s="69" t="s">
        <v>1140</v>
      </c>
      <c r="S421" s="69"/>
      <c r="T421" s="69"/>
      <c r="U421" s="69" t="s">
        <v>1556</v>
      </c>
      <c r="V421" s="71" t="s">
        <v>1572</v>
      </c>
      <c r="W421" s="71"/>
    </row>
    <row r="422" spans="1:23" ht="25.5" x14ac:dyDescent="0.15">
      <c r="A422" s="166"/>
      <c r="B422" s="166"/>
      <c r="C422" s="171"/>
      <c r="D422" s="67" t="s">
        <v>1568</v>
      </c>
      <c r="E422" s="68" t="s">
        <v>2058</v>
      </c>
      <c r="F422" s="68" t="s">
        <v>1138</v>
      </c>
      <c r="G422" s="69" t="s">
        <v>1519</v>
      </c>
      <c r="H422" s="69" t="s">
        <v>1084</v>
      </c>
      <c r="I422" s="73" t="s">
        <v>791</v>
      </c>
      <c r="J422" s="73" t="s">
        <v>2008</v>
      </c>
      <c r="K422" s="69" t="s">
        <v>544</v>
      </c>
      <c r="L422" s="69" t="s">
        <v>2008</v>
      </c>
      <c r="M422" s="69" t="s">
        <v>600</v>
      </c>
      <c r="N422" s="69" t="s">
        <v>2008</v>
      </c>
      <c r="O422" s="69" t="s">
        <v>1506</v>
      </c>
      <c r="P422" s="69" t="s">
        <v>1138</v>
      </c>
      <c r="Q422" s="69" t="s">
        <v>799</v>
      </c>
      <c r="R422" s="69" t="s">
        <v>1140</v>
      </c>
      <c r="S422" s="69"/>
      <c r="T422" s="69"/>
      <c r="U422" s="69" t="s">
        <v>1556</v>
      </c>
      <c r="V422" s="71" t="s">
        <v>1572</v>
      </c>
      <c r="W422" s="71"/>
    </row>
    <row r="423" spans="1:23" ht="25.5" x14ac:dyDescent="0.15">
      <c r="A423" s="166"/>
      <c r="B423" s="166"/>
      <c r="C423" s="171"/>
      <c r="D423" s="67" t="s">
        <v>1568</v>
      </c>
      <c r="E423" s="68" t="s">
        <v>2003</v>
      </c>
      <c r="F423" s="68" t="s">
        <v>1085</v>
      </c>
      <c r="G423" s="69" t="s">
        <v>1519</v>
      </c>
      <c r="H423" s="69" t="s">
        <v>1084</v>
      </c>
      <c r="I423" s="73" t="s">
        <v>791</v>
      </c>
      <c r="J423" s="73" t="s">
        <v>2008</v>
      </c>
      <c r="K423" s="69" t="s">
        <v>544</v>
      </c>
      <c r="L423" s="69" t="s">
        <v>2008</v>
      </c>
      <c r="M423" s="69" t="s">
        <v>600</v>
      </c>
      <c r="N423" s="69" t="s">
        <v>2008</v>
      </c>
      <c r="O423" s="69" t="s">
        <v>1506</v>
      </c>
      <c r="P423" s="69" t="s">
        <v>1085</v>
      </c>
      <c r="Q423" s="69" t="s">
        <v>799</v>
      </c>
      <c r="R423" s="69" t="s">
        <v>1140</v>
      </c>
      <c r="S423" s="69"/>
      <c r="T423" s="69"/>
      <c r="U423" s="69" t="s">
        <v>1556</v>
      </c>
      <c r="V423" s="71" t="s">
        <v>1572</v>
      </c>
      <c r="W423" s="71"/>
    </row>
    <row r="424" spans="1:23" ht="25.5" x14ac:dyDescent="0.15">
      <c r="A424" s="166"/>
      <c r="B424" s="166"/>
      <c r="C424" s="171"/>
      <c r="D424" s="67" t="s">
        <v>1568</v>
      </c>
      <c r="E424" s="68" t="s">
        <v>2021</v>
      </c>
      <c r="F424" s="68" t="s">
        <v>1037</v>
      </c>
      <c r="G424" s="69" t="s">
        <v>1519</v>
      </c>
      <c r="H424" s="69" t="s">
        <v>1084</v>
      </c>
      <c r="I424" s="73" t="s">
        <v>791</v>
      </c>
      <c r="J424" s="73" t="s">
        <v>2008</v>
      </c>
      <c r="K424" s="69" t="s">
        <v>544</v>
      </c>
      <c r="L424" s="69" t="s">
        <v>2008</v>
      </c>
      <c r="M424" s="69" t="s">
        <v>600</v>
      </c>
      <c r="N424" s="69" t="s">
        <v>2008</v>
      </c>
      <c r="O424" s="69" t="s">
        <v>1506</v>
      </c>
      <c r="P424" s="69" t="s">
        <v>1037</v>
      </c>
      <c r="Q424" s="69" t="s">
        <v>799</v>
      </c>
      <c r="R424" s="69" t="s">
        <v>1140</v>
      </c>
      <c r="S424" s="69"/>
      <c r="T424" s="69"/>
      <c r="U424" s="69" t="s">
        <v>1591</v>
      </c>
      <c r="V424" s="71" t="s">
        <v>1572</v>
      </c>
      <c r="W424" s="71"/>
    </row>
    <row r="425" spans="1:23" ht="25.5" x14ac:dyDescent="0.15">
      <c r="A425" s="166"/>
      <c r="B425" s="166"/>
      <c r="C425" s="171"/>
      <c r="D425" s="67" t="s">
        <v>1568</v>
      </c>
      <c r="E425" s="68" t="s">
        <v>2020</v>
      </c>
      <c r="F425" s="68" t="s">
        <v>1089</v>
      </c>
      <c r="G425" s="69" t="s">
        <v>1519</v>
      </c>
      <c r="H425" s="69" t="s">
        <v>1084</v>
      </c>
      <c r="I425" s="73" t="s">
        <v>791</v>
      </c>
      <c r="J425" s="73" t="s">
        <v>2008</v>
      </c>
      <c r="K425" s="69" t="s">
        <v>544</v>
      </c>
      <c r="L425" s="69" t="s">
        <v>2008</v>
      </c>
      <c r="M425" s="69" t="s">
        <v>600</v>
      </c>
      <c r="N425" s="69" t="s">
        <v>2008</v>
      </c>
      <c r="O425" s="69" t="s">
        <v>1506</v>
      </c>
      <c r="P425" s="69" t="s">
        <v>1089</v>
      </c>
      <c r="Q425" s="69" t="s">
        <v>799</v>
      </c>
      <c r="R425" s="69" t="s">
        <v>1140</v>
      </c>
      <c r="S425" s="69"/>
      <c r="T425" s="69"/>
      <c r="U425" s="69" t="s">
        <v>1591</v>
      </c>
      <c r="V425" s="71" t="s">
        <v>1572</v>
      </c>
      <c r="W425" s="71"/>
    </row>
    <row r="426" spans="1:23" ht="25.5" x14ac:dyDescent="0.15">
      <c r="A426" s="166"/>
      <c r="B426" s="166"/>
      <c r="C426" s="171"/>
      <c r="D426" s="67" t="s">
        <v>1568</v>
      </c>
      <c r="E426" s="68" t="s">
        <v>2032</v>
      </c>
      <c r="F426" s="68" t="s">
        <v>1107</v>
      </c>
      <c r="G426" s="69" t="s">
        <v>1519</v>
      </c>
      <c r="H426" s="69" t="s">
        <v>1084</v>
      </c>
      <c r="I426" s="73" t="s">
        <v>791</v>
      </c>
      <c r="J426" s="73" t="s">
        <v>2008</v>
      </c>
      <c r="K426" s="69" t="s">
        <v>544</v>
      </c>
      <c r="L426" s="69" t="s">
        <v>2008</v>
      </c>
      <c r="M426" s="69" t="s">
        <v>600</v>
      </c>
      <c r="N426" s="69" t="s">
        <v>2008</v>
      </c>
      <c r="O426" s="69" t="s">
        <v>1506</v>
      </c>
      <c r="P426" s="69" t="s">
        <v>1107</v>
      </c>
      <c r="Q426" s="69" t="s">
        <v>799</v>
      </c>
      <c r="R426" s="69" t="s">
        <v>1140</v>
      </c>
      <c r="S426" s="69"/>
      <c r="T426" s="69"/>
      <c r="U426" s="69" t="s">
        <v>1591</v>
      </c>
      <c r="V426" s="71" t="s">
        <v>1572</v>
      </c>
      <c r="W426" s="71"/>
    </row>
    <row r="427" spans="1:23" ht="25.5" x14ac:dyDescent="0.15">
      <c r="A427" s="166"/>
      <c r="B427" s="166"/>
      <c r="C427" s="171"/>
      <c r="D427" s="67" t="s">
        <v>1568</v>
      </c>
      <c r="E427" s="68" t="s">
        <v>1802</v>
      </c>
      <c r="F427" s="68" t="s">
        <v>313</v>
      </c>
      <c r="G427" s="69" t="s">
        <v>1519</v>
      </c>
      <c r="H427" s="69" t="s">
        <v>1084</v>
      </c>
      <c r="I427" s="73" t="s">
        <v>791</v>
      </c>
      <c r="J427" s="73" t="s">
        <v>2008</v>
      </c>
      <c r="K427" s="69" t="s">
        <v>544</v>
      </c>
      <c r="L427" s="69" t="s">
        <v>2008</v>
      </c>
      <c r="M427" s="69" t="s">
        <v>600</v>
      </c>
      <c r="N427" s="69" t="s">
        <v>2008</v>
      </c>
      <c r="O427" s="69" t="s">
        <v>1506</v>
      </c>
      <c r="P427" s="69" t="s">
        <v>313</v>
      </c>
      <c r="Q427" s="69" t="s">
        <v>799</v>
      </c>
      <c r="R427" s="69" t="s">
        <v>1140</v>
      </c>
      <c r="S427" s="69"/>
      <c r="T427" s="69"/>
      <c r="U427" s="69" t="s">
        <v>1591</v>
      </c>
      <c r="V427" s="71" t="s">
        <v>1572</v>
      </c>
      <c r="W427" s="71"/>
    </row>
    <row r="428" spans="1:23" ht="25.5" x14ac:dyDescent="0.15">
      <c r="A428" s="166"/>
      <c r="B428" s="166"/>
      <c r="C428" s="171"/>
      <c r="D428" s="67" t="s">
        <v>1568</v>
      </c>
      <c r="E428" s="68" t="s">
        <v>1611</v>
      </c>
      <c r="F428" s="68" t="s">
        <v>312</v>
      </c>
      <c r="G428" s="69" t="s">
        <v>1519</v>
      </c>
      <c r="H428" s="69" t="s">
        <v>1084</v>
      </c>
      <c r="I428" s="73" t="s">
        <v>791</v>
      </c>
      <c r="J428" s="73" t="s">
        <v>2008</v>
      </c>
      <c r="K428" s="69" t="s">
        <v>544</v>
      </c>
      <c r="L428" s="69" t="s">
        <v>2008</v>
      </c>
      <c r="M428" s="69" t="s">
        <v>600</v>
      </c>
      <c r="N428" s="69" t="s">
        <v>2008</v>
      </c>
      <c r="O428" s="69" t="s">
        <v>1506</v>
      </c>
      <c r="P428" s="69" t="s">
        <v>312</v>
      </c>
      <c r="Q428" s="69" t="s">
        <v>799</v>
      </c>
      <c r="R428" s="69" t="s">
        <v>1140</v>
      </c>
      <c r="S428" s="69"/>
      <c r="T428" s="69"/>
      <c r="U428" s="69" t="s">
        <v>1591</v>
      </c>
      <c r="V428" s="71" t="s">
        <v>1572</v>
      </c>
      <c r="W428" s="71"/>
    </row>
    <row r="429" spans="1:23" ht="25.5" x14ac:dyDescent="0.15">
      <c r="A429" s="166"/>
      <c r="B429" s="166"/>
      <c r="C429" s="171"/>
      <c r="D429" s="67" t="s">
        <v>1568</v>
      </c>
      <c r="E429" s="68" t="s">
        <v>2038</v>
      </c>
      <c r="F429" s="68" t="s">
        <v>320</v>
      </c>
      <c r="G429" s="69" t="s">
        <v>1519</v>
      </c>
      <c r="H429" s="69" t="s">
        <v>1084</v>
      </c>
      <c r="I429" s="73" t="s">
        <v>791</v>
      </c>
      <c r="J429" s="73" t="s">
        <v>2008</v>
      </c>
      <c r="K429" s="69" t="s">
        <v>544</v>
      </c>
      <c r="L429" s="69" t="s">
        <v>2008</v>
      </c>
      <c r="M429" s="69" t="s">
        <v>600</v>
      </c>
      <c r="N429" s="69" t="s">
        <v>2008</v>
      </c>
      <c r="O429" s="69" t="s">
        <v>1506</v>
      </c>
      <c r="P429" s="69" t="s">
        <v>320</v>
      </c>
      <c r="Q429" s="69" t="s">
        <v>799</v>
      </c>
      <c r="R429" s="69" t="s">
        <v>1140</v>
      </c>
      <c r="S429" s="69"/>
      <c r="T429" s="69"/>
      <c r="U429" s="69" t="s">
        <v>1591</v>
      </c>
      <c r="V429" s="71" t="s">
        <v>1572</v>
      </c>
      <c r="W429" s="71"/>
    </row>
    <row r="430" spans="1:23" ht="25.5" x14ac:dyDescent="0.15">
      <c r="A430" s="166"/>
      <c r="B430" s="166"/>
      <c r="C430" s="171"/>
      <c r="D430" s="67" t="s">
        <v>1568</v>
      </c>
      <c r="E430" s="68" t="s">
        <v>2023</v>
      </c>
      <c r="F430" s="68" t="s">
        <v>241</v>
      </c>
      <c r="G430" s="69" t="s">
        <v>1519</v>
      </c>
      <c r="H430" s="69" t="s">
        <v>1084</v>
      </c>
      <c r="I430" s="73" t="s">
        <v>791</v>
      </c>
      <c r="J430" s="73" t="s">
        <v>2008</v>
      </c>
      <c r="K430" s="69" t="s">
        <v>544</v>
      </c>
      <c r="L430" s="69" t="s">
        <v>2008</v>
      </c>
      <c r="M430" s="69" t="s">
        <v>600</v>
      </c>
      <c r="N430" s="69" t="s">
        <v>2008</v>
      </c>
      <c r="O430" s="69" t="s">
        <v>1506</v>
      </c>
      <c r="P430" s="69" t="s">
        <v>241</v>
      </c>
      <c r="Q430" s="69" t="s">
        <v>799</v>
      </c>
      <c r="R430" s="69" t="s">
        <v>1140</v>
      </c>
      <c r="S430" s="69"/>
      <c r="T430" s="69"/>
      <c r="U430" s="69" t="s">
        <v>1591</v>
      </c>
      <c r="V430" s="71" t="s">
        <v>1572</v>
      </c>
      <c r="W430" s="71"/>
    </row>
    <row r="431" spans="1:23" ht="25.5" x14ac:dyDescent="0.15">
      <c r="A431" s="166"/>
      <c r="B431" s="166"/>
      <c r="C431" s="171"/>
      <c r="D431" s="67" t="s">
        <v>1568</v>
      </c>
      <c r="E431" s="68" t="s">
        <v>1636</v>
      </c>
      <c r="F431" s="68" t="s">
        <v>1148</v>
      </c>
      <c r="G431" s="69" t="s">
        <v>1519</v>
      </c>
      <c r="H431" s="69" t="s">
        <v>1084</v>
      </c>
      <c r="I431" s="73" t="s">
        <v>791</v>
      </c>
      <c r="J431" s="73" t="s">
        <v>2008</v>
      </c>
      <c r="K431" s="69" t="s">
        <v>544</v>
      </c>
      <c r="L431" s="69" t="s">
        <v>2008</v>
      </c>
      <c r="M431" s="69" t="s">
        <v>600</v>
      </c>
      <c r="N431" s="69" t="s">
        <v>2008</v>
      </c>
      <c r="O431" s="69" t="s">
        <v>1506</v>
      </c>
      <c r="P431" s="69" t="s">
        <v>1148</v>
      </c>
      <c r="Q431" s="69" t="s">
        <v>799</v>
      </c>
      <c r="R431" s="69" t="s">
        <v>1140</v>
      </c>
      <c r="S431" s="69"/>
      <c r="T431" s="69"/>
      <c r="U431" s="69" t="s">
        <v>1556</v>
      </c>
      <c r="V431" s="71" t="s">
        <v>1572</v>
      </c>
      <c r="W431" s="71"/>
    </row>
    <row r="432" spans="1:23" ht="25.5" x14ac:dyDescent="0.15">
      <c r="A432" s="166"/>
      <c r="B432" s="166"/>
      <c r="C432" s="171"/>
      <c r="D432" s="67" t="s">
        <v>1568</v>
      </c>
      <c r="E432" s="68" t="s">
        <v>1780</v>
      </c>
      <c r="F432" s="68" t="s">
        <v>1160</v>
      </c>
      <c r="G432" s="69" t="s">
        <v>1519</v>
      </c>
      <c r="H432" s="69" t="s">
        <v>1084</v>
      </c>
      <c r="I432" s="73" t="s">
        <v>791</v>
      </c>
      <c r="J432" s="73" t="s">
        <v>2008</v>
      </c>
      <c r="K432" s="69" t="s">
        <v>544</v>
      </c>
      <c r="L432" s="69" t="s">
        <v>2008</v>
      </c>
      <c r="M432" s="69" t="s">
        <v>600</v>
      </c>
      <c r="N432" s="69" t="s">
        <v>2008</v>
      </c>
      <c r="O432" s="69" t="s">
        <v>1506</v>
      </c>
      <c r="P432" s="69" t="s">
        <v>1160</v>
      </c>
      <c r="Q432" s="69" t="s">
        <v>799</v>
      </c>
      <c r="R432" s="69" t="s">
        <v>1140</v>
      </c>
      <c r="S432" s="69"/>
      <c r="T432" s="69"/>
      <c r="U432" s="69" t="s">
        <v>1556</v>
      </c>
      <c r="V432" s="71" t="s">
        <v>1572</v>
      </c>
      <c r="W432" s="71"/>
    </row>
    <row r="433" spans="1:23" ht="25.5" x14ac:dyDescent="0.15">
      <c r="A433" s="166"/>
      <c r="B433" s="166"/>
      <c r="C433" s="171"/>
      <c r="D433" s="67" t="s">
        <v>1568</v>
      </c>
      <c r="E433" s="68" t="s">
        <v>2575</v>
      </c>
      <c r="F433" s="68" t="s">
        <v>1119</v>
      </c>
      <c r="G433" s="69" t="s">
        <v>1519</v>
      </c>
      <c r="H433" s="69" t="s">
        <v>1084</v>
      </c>
      <c r="I433" s="73" t="s">
        <v>791</v>
      </c>
      <c r="J433" s="73" t="s">
        <v>2008</v>
      </c>
      <c r="K433" s="69" t="s">
        <v>544</v>
      </c>
      <c r="L433" s="69" t="s">
        <v>2008</v>
      </c>
      <c r="M433" s="69" t="s">
        <v>600</v>
      </c>
      <c r="N433" s="69" t="s">
        <v>2008</v>
      </c>
      <c r="O433" s="69" t="s">
        <v>1506</v>
      </c>
      <c r="P433" s="69" t="s">
        <v>1119</v>
      </c>
      <c r="Q433" s="69" t="s">
        <v>799</v>
      </c>
      <c r="R433" s="69" t="s">
        <v>1140</v>
      </c>
      <c r="S433" s="69"/>
      <c r="T433" s="69"/>
      <c r="U433" s="69" t="s">
        <v>1556</v>
      </c>
      <c r="V433" s="71" t="s">
        <v>1572</v>
      </c>
      <c r="W433" s="71"/>
    </row>
    <row r="434" spans="1:23" ht="25.5" x14ac:dyDescent="0.15">
      <c r="A434" s="166"/>
      <c r="B434" s="166"/>
      <c r="C434" s="171"/>
      <c r="D434" s="67" t="s">
        <v>1568</v>
      </c>
      <c r="E434" s="68" t="s">
        <v>1764</v>
      </c>
      <c r="F434" s="68" t="s">
        <v>1151</v>
      </c>
      <c r="G434" s="69" t="s">
        <v>1519</v>
      </c>
      <c r="H434" s="69" t="s">
        <v>1084</v>
      </c>
      <c r="I434" s="73" t="s">
        <v>791</v>
      </c>
      <c r="J434" s="73" t="s">
        <v>2008</v>
      </c>
      <c r="K434" s="69" t="s">
        <v>544</v>
      </c>
      <c r="L434" s="69" t="s">
        <v>2008</v>
      </c>
      <c r="M434" s="69" t="s">
        <v>600</v>
      </c>
      <c r="N434" s="69" t="s">
        <v>2008</v>
      </c>
      <c r="O434" s="69" t="s">
        <v>1506</v>
      </c>
      <c r="P434" s="69" t="s">
        <v>1151</v>
      </c>
      <c r="Q434" s="69" t="s">
        <v>799</v>
      </c>
      <c r="R434" s="69" t="s">
        <v>1140</v>
      </c>
      <c r="S434" s="69"/>
      <c r="T434" s="69"/>
      <c r="U434" s="69" t="s">
        <v>1556</v>
      </c>
      <c r="V434" s="71" t="s">
        <v>1572</v>
      </c>
      <c r="W434" s="71"/>
    </row>
    <row r="435" spans="1:23" ht="25.5" x14ac:dyDescent="0.15">
      <c r="A435" s="166"/>
      <c r="B435" s="166"/>
      <c r="C435" s="171"/>
      <c r="D435" s="67" t="s">
        <v>1568</v>
      </c>
      <c r="E435" s="68" t="s">
        <v>2065</v>
      </c>
      <c r="F435" s="68" t="s">
        <v>242</v>
      </c>
      <c r="G435" s="69" t="s">
        <v>1519</v>
      </c>
      <c r="H435" s="69" t="s">
        <v>1084</v>
      </c>
      <c r="I435" s="73" t="s">
        <v>791</v>
      </c>
      <c r="J435" s="73" t="s">
        <v>2008</v>
      </c>
      <c r="K435" s="69" t="s">
        <v>544</v>
      </c>
      <c r="L435" s="69" t="s">
        <v>2008</v>
      </c>
      <c r="M435" s="69" t="s">
        <v>600</v>
      </c>
      <c r="N435" s="69" t="s">
        <v>2008</v>
      </c>
      <c r="O435" s="69" t="s">
        <v>1506</v>
      </c>
      <c r="P435" s="69" t="s">
        <v>242</v>
      </c>
      <c r="Q435" s="69" t="s">
        <v>799</v>
      </c>
      <c r="R435" s="69" t="s">
        <v>1140</v>
      </c>
      <c r="S435" s="69"/>
      <c r="T435" s="69"/>
      <c r="U435" s="69" t="s">
        <v>1556</v>
      </c>
      <c r="V435" s="71" t="s">
        <v>1572</v>
      </c>
      <c r="W435" s="71"/>
    </row>
    <row r="436" spans="1:23" ht="25.5" x14ac:dyDescent="0.15">
      <c r="A436" s="166"/>
      <c r="B436" s="166"/>
      <c r="C436" s="171"/>
      <c r="D436" s="67" t="s">
        <v>1568</v>
      </c>
      <c r="E436" s="68" t="s">
        <v>1833</v>
      </c>
      <c r="F436" s="68" t="s">
        <v>300</v>
      </c>
      <c r="G436" s="69" t="s">
        <v>1519</v>
      </c>
      <c r="H436" s="69" t="s">
        <v>1084</v>
      </c>
      <c r="I436" s="73" t="s">
        <v>791</v>
      </c>
      <c r="J436" s="73" t="s">
        <v>2008</v>
      </c>
      <c r="K436" s="69" t="s">
        <v>544</v>
      </c>
      <c r="L436" s="69" t="s">
        <v>2008</v>
      </c>
      <c r="M436" s="69" t="s">
        <v>600</v>
      </c>
      <c r="N436" s="69" t="s">
        <v>2008</v>
      </c>
      <c r="O436" s="69" t="s">
        <v>1506</v>
      </c>
      <c r="P436" s="69" t="s">
        <v>300</v>
      </c>
      <c r="Q436" s="69" t="s">
        <v>799</v>
      </c>
      <c r="R436" s="69" t="s">
        <v>1140</v>
      </c>
      <c r="S436" s="69"/>
      <c r="T436" s="69"/>
      <c r="U436" s="69" t="s">
        <v>1556</v>
      </c>
      <c r="V436" s="71" t="s">
        <v>1572</v>
      </c>
      <c r="W436" s="71"/>
    </row>
    <row r="437" spans="1:23" ht="25.5" x14ac:dyDescent="0.15">
      <c r="A437" s="166"/>
      <c r="B437" s="166"/>
      <c r="C437" s="171"/>
      <c r="D437" s="67" t="s">
        <v>1568</v>
      </c>
      <c r="E437" s="68" t="s">
        <v>2004</v>
      </c>
      <c r="F437" s="68" t="s">
        <v>230</v>
      </c>
      <c r="G437" s="69" t="s">
        <v>1519</v>
      </c>
      <c r="H437" s="69" t="s">
        <v>1084</v>
      </c>
      <c r="I437" s="73" t="s">
        <v>791</v>
      </c>
      <c r="J437" s="73" t="s">
        <v>2008</v>
      </c>
      <c r="K437" s="69" t="s">
        <v>544</v>
      </c>
      <c r="L437" s="69" t="s">
        <v>2008</v>
      </c>
      <c r="M437" s="69" t="s">
        <v>600</v>
      </c>
      <c r="N437" s="69" t="s">
        <v>2008</v>
      </c>
      <c r="O437" s="69" t="s">
        <v>1506</v>
      </c>
      <c r="P437" s="69" t="s">
        <v>230</v>
      </c>
      <c r="Q437" s="69" t="s">
        <v>799</v>
      </c>
      <c r="R437" s="69" t="s">
        <v>1140</v>
      </c>
      <c r="S437" s="69"/>
      <c r="T437" s="69"/>
      <c r="U437" s="69" t="s">
        <v>1556</v>
      </c>
      <c r="V437" s="71" t="s">
        <v>1572</v>
      </c>
      <c r="W437" s="71"/>
    </row>
    <row r="438" spans="1:23" ht="25.5" x14ac:dyDescent="0.15">
      <c r="A438" s="166"/>
      <c r="B438" s="166"/>
      <c r="C438" s="171"/>
      <c r="D438" s="67" t="s">
        <v>1568</v>
      </c>
      <c r="E438" s="68" t="s">
        <v>2410</v>
      </c>
      <c r="F438" s="68" t="s">
        <v>1091</v>
      </c>
      <c r="G438" s="69" t="s">
        <v>43</v>
      </c>
      <c r="H438" s="69" t="s">
        <v>1301</v>
      </c>
      <c r="I438" s="73" t="s">
        <v>791</v>
      </c>
      <c r="J438" s="73" t="s">
        <v>2008</v>
      </c>
      <c r="K438" s="69" t="s">
        <v>544</v>
      </c>
      <c r="L438" s="69" t="s">
        <v>2008</v>
      </c>
      <c r="M438" s="69" t="s">
        <v>600</v>
      </c>
      <c r="N438" s="69" t="s">
        <v>2008</v>
      </c>
      <c r="O438" s="69" t="s">
        <v>1506</v>
      </c>
      <c r="P438" s="69" t="s">
        <v>1091</v>
      </c>
      <c r="Q438" s="69" t="s">
        <v>799</v>
      </c>
      <c r="R438" s="69" t="s">
        <v>1140</v>
      </c>
      <c r="S438" s="69"/>
      <c r="T438" s="69"/>
      <c r="U438" s="69" t="s">
        <v>1556</v>
      </c>
      <c r="V438" s="71" t="s">
        <v>1572</v>
      </c>
      <c r="W438" s="71"/>
    </row>
    <row r="439" spans="1:23" ht="25.5" x14ac:dyDescent="0.15">
      <c r="A439" s="166"/>
      <c r="B439" s="166"/>
      <c r="C439" s="171"/>
      <c r="D439" s="67" t="s">
        <v>1568</v>
      </c>
      <c r="E439" s="68" t="s">
        <v>2027</v>
      </c>
      <c r="F439" s="68" t="s">
        <v>295</v>
      </c>
      <c r="G439" s="69" t="s">
        <v>43</v>
      </c>
      <c r="H439" s="69" t="s">
        <v>1301</v>
      </c>
      <c r="I439" s="73" t="s">
        <v>791</v>
      </c>
      <c r="J439" s="73" t="s">
        <v>2008</v>
      </c>
      <c r="K439" s="69" t="s">
        <v>544</v>
      </c>
      <c r="L439" s="69" t="s">
        <v>2008</v>
      </c>
      <c r="M439" s="69" t="s">
        <v>600</v>
      </c>
      <c r="N439" s="69" t="s">
        <v>2008</v>
      </c>
      <c r="O439" s="69" t="s">
        <v>1506</v>
      </c>
      <c r="P439" s="69" t="s">
        <v>295</v>
      </c>
      <c r="Q439" s="69" t="s">
        <v>799</v>
      </c>
      <c r="R439" s="69" t="s">
        <v>1140</v>
      </c>
      <c r="S439" s="69"/>
      <c r="T439" s="69"/>
      <c r="U439" s="69" t="s">
        <v>1591</v>
      </c>
      <c r="V439" s="71" t="s">
        <v>1572</v>
      </c>
      <c r="W439" s="71"/>
    </row>
    <row r="440" spans="1:23" ht="25.5" x14ac:dyDescent="0.15">
      <c r="A440" s="166"/>
      <c r="B440" s="166"/>
      <c r="C440" s="171"/>
      <c r="D440" s="67" t="s">
        <v>1568</v>
      </c>
      <c r="E440" s="68" t="s">
        <v>2528</v>
      </c>
      <c r="F440" s="68" t="s">
        <v>1167</v>
      </c>
      <c r="G440" s="69" t="s">
        <v>43</v>
      </c>
      <c r="H440" s="69" t="s">
        <v>1301</v>
      </c>
      <c r="I440" s="73" t="s">
        <v>791</v>
      </c>
      <c r="J440" s="73" t="s">
        <v>2008</v>
      </c>
      <c r="K440" s="69" t="s">
        <v>544</v>
      </c>
      <c r="L440" s="69" t="s">
        <v>2008</v>
      </c>
      <c r="M440" s="69" t="s">
        <v>600</v>
      </c>
      <c r="N440" s="69" t="s">
        <v>2008</v>
      </c>
      <c r="O440" s="69" t="s">
        <v>1506</v>
      </c>
      <c r="P440" s="69" t="s">
        <v>1167</v>
      </c>
      <c r="Q440" s="69" t="s">
        <v>799</v>
      </c>
      <c r="R440" s="69" t="s">
        <v>1140</v>
      </c>
      <c r="S440" s="69"/>
      <c r="T440" s="69"/>
      <c r="U440" s="69" t="s">
        <v>1591</v>
      </c>
      <c r="V440" s="71" t="s">
        <v>1572</v>
      </c>
      <c r="W440" s="71"/>
    </row>
    <row r="441" spans="1:23" ht="25.5" x14ac:dyDescent="0.15">
      <c r="A441" s="166"/>
      <c r="B441" s="166"/>
      <c r="C441" s="171"/>
      <c r="D441" s="67" t="s">
        <v>1568</v>
      </c>
      <c r="E441" s="68" t="s">
        <v>2336</v>
      </c>
      <c r="F441" s="68" t="s">
        <v>216</v>
      </c>
      <c r="G441" s="69" t="s">
        <v>43</v>
      </c>
      <c r="H441" s="69" t="s">
        <v>1301</v>
      </c>
      <c r="I441" s="73" t="s">
        <v>791</v>
      </c>
      <c r="J441" s="73" t="s">
        <v>2008</v>
      </c>
      <c r="K441" s="69" t="s">
        <v>544</v>
      </c>
      <c r="L441" s="69" t="s">
        <v>2008</v>
      </c>
      <c r="M441" s="69" t="s">
        <v>600</v>
      </c>
      <c r="N441" s="69" t="s">
        <v>2008</v>
      </c>
      <c r="O441" s="69" t="s">
        <v>1506</v>
      </c>
      <c r="P441" s="69" t="s">
        <v>216</v>
      </c>
      <c r="Q441" s="69" t="s">
        <v>799</v>
      </c>
      <c r="R441" s="69" t="s">
        <v>1140</v>
      </c>
      <c r="S441" s="69"/>
      <c r="T441" s="69"/>
      <c r="U441" s="69" t="s">
        <v>1591</v>
      </c>
      <c r="V441" s="71" t="s">
        <v>1572</v>
      </c>
      <c r="W441" s="71"/>
    </row>
    <row r="442" spans="1:23" ht="25.5" x14ac:dyDescent="0.15">
      <c r="A442" s="166"/>
      <c r="B442" s="166"/>
      <c r="C442" s="171"/>
      <c r="D442" s="67" t="s">
        <v>1568</v>
      </c>
      <c r="E442" s="68" t="s">
        <v>2342</v>
      </c>
      <c r="F442" s="68" t="s">
        <v>1136</v>
      </c>
      <c r="G442" s="69" t="s">
        <v>43</v>
      </c>
      <c r="H442" s="69" t="s">
        <v>1301</v>
      </c>
      <c r="I442" s="73" t="s">
        <v>791</v>
      </c>
      <c r="J442" s="73" t="s">
        <v>2008</v>
      </c>
      <c r="K442" s="69" t="s">
        <v>544</v>
      </c>
      <c r="L442" s="69" t="s">
        <v>2008</v>
      </c>
      <c r="M442" s="69" t="s">
        <v>600</v>
      </c>
      <c r="N442" s="69" t="s">
        <v>2008</v>
      </c>
      <c r="O442" s="69" t="s">
        <v>1506</v>
      </c>
      <c r="P442" s="69" t="s">
        <v>1136</v>
      </c>
      <c r="Q442" s="69" t="s">
        <v>799</v>
      </c>
      <c r="R442" s="69" t="s">
        <v>1140</v>
      </c>
      <c r="S442" s="69"/>
      <c r="T442" s="69"/>
      <c r="U442" s="69" t="s">
        <v>1591</v>
      </c>
      <c r="V442" s="71" t="s">
        <v>1572</v>
      </c>
      <c r="W442" s="71"/>
    </row>
    <row r="443" spans="1:23" ht="25.5" x14ac:dyDescent="0.15">
      <c r="A443" s="166"/>
      <c r="B443" s="166"/>
      <c r="C443" s="171"/>
      <c r="D443" s="67" t="s">
        <v>1568</v>
      </c>
      <c r="E443" s="68" t="s">
        <v>1989</v>
      </c>
      <c r="F443" s="68" t="s">
        <v>259</v>
      </c>
      <c r="G443" s="69" t="s">
        <v>43</v>
      </c>
      <c r="H443" s="69" t="s">
        <v>1301</v>
      </c>
      <c r="I443" s="73" t="s">
        <v>791</v>
      </c>
      <c r="J443" s="73" t="s">
        <v>2008</v>
      </c>
      <c r="K443" s="69" t="s">
        <v>544</v>
      </c>
      <c r="L443" s="69" t="s">
        <v>2008</v>
      </c>
      <c r="M443" s="69" t="s">
        <v>600</v>
      </c>
      <c r="N443" s="69" t="s">
        <v>2008</v>
      </c>
      <c r="O443" s="69" t="s">
        <v>1506</v>
      </c>
      <c r="P443" s="69" t="s">
        <v>259</v>
      </c>
      <c r="Q443" s="69" t="s">
        <v>799</v>
      </c>
      <c r="R443" s="69" t="s">
        <v>1140</v>
      </c>
      <c r="S443" s="69"/>
      <c r="T443" s="69"/>
      <c r="U443" s="69" t="s">
        <v>1556</v>
      </c>
      <c r="V443" s="71" t="s">
        <v>1572</v>
      </c>
      <c r="W443" s="71"/>
    </row>
    <row r="444" spans="1:23" ht="25.5" x14ac:dyDescent="0.15">
      <c r="A444" s="166"/>
      <c r="B444" s="166"/>
      <c r="C444" s="171"/>
      <c r="D444" s="67" t="s">
        <v>1568</v>
      </c>
      <c r="E444" s="68" t="s">
        <v>1712</v>
      </c>
      <c r="F444" s="68" t="s">
        <v>285</v>
      </c>
      <c r="G444" s="69" t="s">
        <v>43</v>
      </c>
      <c r="H444" s="69" t="s">
        <v>1301</v>
      </c>
      <c r="I444" s="73" t="s">
        <v>791</v>
      </c>
      <c r="J444" s="73" t="s">
        <v>2008</v>
      </c>
      <c r="K444" s="69" t="s">
        <v>544</v>
      </c>
      <c r="L444" s="69" t="s">
        <v>2008</v>
      </c>
      <c r="M444" s="69" t="s">
        <v>600</v>
      </c>
      <c r="N444" s="69" t="s">
        <v>2008</v>
      </c>
      <c r="O444" s="69" t="s">
        <v>1506</v>
      </c>
      <c r="P444" s="69" t="s">
        <v>285</v>
      </c>
      <c r="Q444" s="69" t="s">
        <v>799</v>
      </c>
      <c r="R444" s="69" t="s">
        <v>1140</v>
      </c>
      <c r="S444" s="69"/>
      <c r="T444" s="69"/>
      <c r="U444" s="69" t="s">
        <v>1556</v>
      </c>
      <c r="V444" s="71" t="s">
        <v>1572</v>
      </c>
      <c r="W444" s="71"/>
    </row>
    <row r="445" spans="1:23" ht="25.5" x14ac:dyDescent="0.15">
      <c r="A445" s="166"/>
      <c r="B445" s="167"/>
      <c r="C445" s="171"/>
      <c r="D445" s="67" t="s">
        <v>1568</v>
      </c>
      <c r="E445" s="68" t="s">
        <v>1736</v>
      </c>
      <c r="F445" s="68" t="s">
        <v>150</v>
      </c>
      <c r="G445" s="69" t="s">
        <v>43</v>
      </c>
      <c r="H445" s="69" t="s">
        <v>1301</v>
      </c>
      <c r="I445" s="73" t="s">
        <v>791</v>
      </c>
      <c r="J445" s="73" t="s">
        <v>2008</v>
      </c>
      <c r="K445" s="69" t="s">
        <v>544</v>
      </c>
      <c r="L445" s="69" t="s">
        <v>2008</v>
      </c>
      <c r="M445" s="69" t="s">
        <v>600</v>
      </c>
      <c r="N445" s="69" t="s">
        <v>2008</v>
      </c>
      <c r="O445" s="69" t="s">
        <v>1506</v>
      </c>
      <c r="P445" s="69" t="s">
        <v>150</v>
      </c>
      <c r="Q445" s="69" t="s">
        <v>799</v>
      </c>
      <c r="R445" s="69" t="s">
        <v>1140</v>
      </c>
      <c r="S445" s="69"/>
      <c r="T445" s="69"/>
      <c r="U445" s="69" t="s">
        <v>1556</v>
      </c>
      <c r="V445" s="71" t="s">
        <v>1572</v>
      </c>
      <c r="W445" s="71"/>
    </row>
    <row r="446" spans="1:23" ht="25.5" customHeight="1" x14ac:dyDescent="0.15">
      <c r="A446" s="166"/>
      <c r="B446" s="165" t="s">
        <v>108</v>
      </c>
      <c r="C446" s="171" t="s">
        <v>108</v>
      </c>
      <c r="D446" s="67" t="s">
        <v>1568</v>
      </c>
      <c r="E446" s="68" t="s">
        <v>2174</v>
      </c>
      <c r="F446" s="68" t="s">
        <v>192</v>
      </c>
      <c r="G446" s="69" t="s">
        <v>608</v>
      </c>
      <c r="H446" s="69" t="s">
        <v>256</v>
      </c>
      <c r="I446" s="73" t="s">
        <v>49</v>
      </c>
      <c r="J446" s="73" t="s">
        <v>1196</v>
      </c>
      <c r="K446" s="69" t="s">
        <v>1526</v>
      </c>
      <c r="L446" s="69" t="s">
        <v>916</v>
      </c>
      <c r="M446" s="69" t="s">
        <v>1527</v>
      </c>
      <c r="N446" s="69" t="s">
        <v>916</v>
      </c>
      <c r="O446" s="69" t="s">
        <v>1529</v>
      </c>
      <c r="P446" s="69" t="s">
        <v>192</v>
      </c>
      <c r="Q446" s="69" t="s">
        <v>906</v>
      </c>
      <c r="R446" s="69" t="s">
        <v>2629</v>
      </c>
      <c r="S446" s="69"/>
      <c r="T446" s="69"/>
      <c r="U446" s="69" t="s">
        <v>1591</v>
      </c>
      <c r="V446" s="71" t="s">
        <v>1572</v>
      </c>
      <c r="W446" s="71"/>
    </row>
    <row r="447" spans="1:23" ht="25.5" x14ac:dyDescent="0.15">
      <c r="A447" s="166"/>
      <c r="B447" s="166"/>
      <c r="C447" s="171"/>
      <c r="D447" s="67" t="s">
        <v>1568</v>
      </c>
      <c r="E447" s="68" t="s">
        <v>2145</v>
      </c>
      <c r="F447" s="68" t="s">
        <v>142</v>
      </c>
      <c r="G447" s="69" t="s">
        <v>608</v>
      </c>
      <c r="H447" s="69" t="s">
        <v>256</v>
      </c>
      <c r="I447" s="73" t="s">
        <v>49</v>
      </c>
      <c r="J447" s="73" t="s">
        <v>1196</v>
      </c>
      <c r="K447" s="69" t="s">
        <v>1526</v>
      </c>
      <c r="L447" s="69" t="s">
        <v>916</v>
      </c>
      <c r="M447" s="69" t="s">
        <v>1527</v>
      </c>
      <c r="N447" s="69" t="s">
        <v>916</v>
      </c>
      <c r="O447" s="69" t="s">
        <v>1529</v>
      </c>
      <c r="P447" s="69" t="s">
        <v>142</v>
      </c>
      <c r="Q447" s="69" t="s">
        <v>906</v>
      </c>
      <c r="R447" s="69" t="s">
        <v>2629</v>
      </c>
      <c r="S447" s="69"/>
      <c r="T447" s="69"/>
      <c r="U447" s="69" t="s">
        <v>1591</v>
      </c>
      <c r="V447" s="71" t="s">
        <v>1572</v>
      </c>
      <c r="W447" s="71"/>
    </row>
    <row r="448" spans="1:23" ht="25.5" x14ac:dyDescent="0.15">
      <c r="A448" s="166"/>
      <c r="B448" s="166"/>
      <c r="C448" s="171"/>
      <c r="D448" s="67" t="s">
        <v>1568</v>
      </c>
      <c r="E448" s="68" t="s">
        <v>2162</v>
      </c>
      <c r="F448" s="68" t="s">
        <v>284</v>
      </c>
      <c r="G448" s="69" t="s">
        <v>608</v>
      </c>
      <c r="H448" s="69" t="s">
        <v>256</v>
      </c>
      <c r="I448" s="73" t="s">
        <v>49</v>
      </c>
      <c r="J448" s="73" t="s">
        <v>1196</v>
      </c>
      <c r="K448" s="69" t="s">
        <v>1526</v>
      </c>
      <c r="L448" s="69" t="s">
        <v>916</v>
      </c>
      <c r="M448" s="69" t="s">
        <v>1527</v>
      </c>
      <c r="N448" s="69" t="s">
        <v>916</v>
      </c>
      <c r="O448" s="69" t="s">
        <v>1529</v>
      </c>
      <c r="P448" s="69" t="s">
        <v>284</v>
      </c>
      <c r="Q448" s="69" t="s">
        <v>906</v>
      </c>
      <c r="R448" s="69" t="s">
        <v>2629</v>
      </c>
      <c r="S448" s="69"/>
      <c r="T448" s="69"/>
      <c r="U448" s="69" t="s">
        <v>1591</v>
      </c>
      <c r="V448" s="71" t="s">
        <v>1572</v>
      </c>
      <c r="W448" s="71"/>
    </row>
    <row r="449" spans="1:23" ht="25.5" x14ac:dyDescent="0.15">
      <c r="A449" s="166"/>
      <c r="B449" s="166"/>
      <c r="C449" s="171"/>
      <c r="D449" s="67" t="s">
        <v>1568</v>
      </c>
      <c r="E449" s="68" t="s">
        <v>1732</v>
      </c>
      <c r="F449" s="68" t="s">
        <v>175</v>
      </c>
      <c r="G449" s="69" t="s">
        <v>608</v>
      </c>
      <c r="H449" s="69" t="s">
        <v>256</v>
      </c>
      <c r="I449" s="73" t="s">
        <v>49</v>
      </c>
      <c r="J449" s="73" t="s">
        <v>1196</v>
      </c>
      <c r="K449" s="69" t="s">
        <v>1526</v>
      </c>
      <c r="L449" s="69" t="s">
        <v>916</v>
      </c>
      <c r="M449" s="69" t="s">
        <v>1527</v>
      </c>
      <c r="N449" s="69" t="s">
        <v>916</v>
      </c>
      <c r="O449" s="69" t="s">
        <v>1529</v>
      </c>
      <c r="P449" s="69" t="s">
        <v>175</v>
      </c>
      <c r="Q449" s="69" t="s">
        <v>906</v>
      </c>
      <c r="R449" s="69" t="s">
        <v>2629</v>
      </c>
      <c r="S449" s="69"/>
      <c r="T449" s="69"/>
      <c r="U449" s="69" t="s">
        <v>1591</v>
      </c>
      <c r="V449" s="71" t="s">
        <v>1572</v>
      </c>
      <c r="W449" s="71"/>
    </row>
    <row r="450" spans="1:23" ht="38.25" x14ac:dyDescent="0.15">
      <c r="A450" s="166"/>
      <c r="B450" s="166"/>
      <c r="C450" s="171"/>
      <c r="D450" s="67" t="s">
        <v>1568</v>
      </c>
      <c r="E450" s="68" t="s">
        <v>2325</v>
      </c>
      <c r="F450" s="68" t="s">
        <v>2655</v>
      </c>
      <c r="G450" s="69" t="s">
        <v>608</v>
      </c>
      <c r="H450" s="69" t="s">
        <v>256</v>
      </c>
      <c r="I450" s="73" t="s">
        <v>49</v>
      </c>
      <c r="J450" s="73" t="s">
        <v>1196</v>
      </c>
      <c r="K450" s="69" t="s">
        <v>1526</v>
      </c>
      <c r="L450" s="69" t="s">
        <v>916</v>
      </c>
      <c r="M450" s="69" t="s">
        <v>1527</v>
      </c>
      <c r="N450" s="69" t="s">
        <v>916</v>
      </c>
      <c r="O450" s="69" t="s">
        <v>1529</v>
      </c>
      <c r="P450" s="69" t="s">
        <v>2655</v>
      </c>
      <c r="Q450" s="69" t="s">
        <v>906</v>
      </c>
      <c r="R450" s="69" t="s">
        <v>2629</v>
      </c>
      <c r="S450" s="69"/>
      <c r="T450" s="69"/>
      <c r="U450" s="69" t="s">
        <v>1591</v>
      </c>
      <c r="V450" s="71" t="s">
        <v>1572</v>
      </c>
      <c r="W450" s="71"/>
    </row>
    <row r="451" spans="1:23" ht="38.25" x14ac:dyDescent="0.15">
      <c r="A451" s="166"/>
      <c r="B451" s="166"/>
      <c r="C451" s="171"/>
      <c r="D451" s="67" t="s">
        <v>1568</v>
      </c>
      <c r="E451" s="68" t="s">
        <v>1865</v>
      </c>
      <c r="F451" s="68" t="s">
        <v>515</v>
      </c>
      <c r="G451" s="69" t="s">
        <v>608</v>
      </c>
      <c r="H451" s="69" t="s">
        <v>256</v>
      </c>
      <c r="I451" s="73" t="s">
        <v>49</v>
      </c>
      <c r="J451" s="73" t="s">
        <v>1196</v>
      </c>
      <c r="K451" s="69" t="s">
        <v>169</v>
      </c>
      <c r="L451" s="69" t="s">
        <v>1352</v>
      </c>
      <c r="M451" s="69" t="s">
        <v>587</v>
      </c>
      <c r="N451" s="69" t="s">
        <v>595</v>
      </c>
      <c r="O451" s="69" t="s">
        <v>1529</v>
      </c>
      <c r="P451" s="69" t="s">
        <v>515</v>
      </c>
      <c r="Q451" s="69" t="s">
        <v>906</v>
      </c>
      <c r="R451" s="69" t="s">
        <v>2629</v>
      </c>
      <c r="S451" s="69"/>
      <c r="T451" s="69"/>
      <c r="U451" s="69" t="s">
        <v>1591</v>
      </c>
      <c r="V451" s="71" t="s">
        <v>1572</v>
      </c>
      <c r="W451" s="71"/>
    </row>
    <row r="452" spans="1:23" ht="38.25" x14ac:dyDescent="0.15">
      <c r="A452" s="166"/>
      <c r="B452" s="166"/>
      <c r="C452" s="171"/>
      <c r="D452" s="67" t="s">
        <v>1568</v>
      </c>
      <c r="E452" s="68" t="s">
        <v>2124</v>
      </c>
      <c r="F452" s="68" t="s">
        <v>2682</v>
      </c>
      <c r="G452" s="69" t="s">
        <v>608</v>
      </c>
      <c r="H452" s="69" t="s">
        <v>256</v>
      </c>
      <c r="I452" s="73" t="s">
        <v>49</v>
      </c>
      <c r="J452" s="73" t="s">
        <v>1196</v>
      </c>
      <c r="K452" s="69" t="s">
        <v>169</v>
      </c>
      <c r="L452" s="69" t="s">
        <v>1352</v>
      </c>
      <c r="M452" s="69" t="s">
        <v>587</v>
      </c>
      <c r="N452" s="69" t="s">
        <v>595</v>
      </c>
      <c r="O452" s="69" t="s">
        <v>1529</v>
      </c>
      <c r="P452" s="69" t="s">
        <v>2682</v>
      </c>
      <c r="Q452" s="69" t="s">
        <v>906</v>
      </c>
      <c r="R452" s="69" t="s">
        <v>2629</v>
      </c>
      <c r="S452" s="69"/>
      <c r="T452" s="69"/>
      <c r="U452" s="69" t="s">
        <v>1591</v>
      </c>
      <c r="V452" s="71" t="s">
        <v>1572</v>
      </c>
      <c r="W452" s="71"/>
    </row>
    <row r="453" spans="1:23" ht="38.25" x14ac:dyDescent="0.15">
      <c r="A453" s="166"/>
      <c r="B453" s="166"/>
      <c r="C453" s="171"/>
      <c r="D453" s="67" t="s">
        <v>1568</v>
      </c>
      <c r="E453" s="68" t="s">
        <v>2148</v>
      </c>
      <c r="F453" s="68" t="s">
        <v>125</v>
      </c>
      <c r="G453" s="69" t="s">
        <v>608</v>
      </c>
      <c r="H453" s="69" t="s">
        <v>256</v>
      </c>
      <c r="I453" s="73" t="s">
        <v>49</v>
      </c>
      <c r="J453" s="73" t="s">
        <v>1196</v>
      </c>
      <c r="K453" s="69" t="s">
        <v>169</v>
      </c>
      <c r="L453" s="69" t="s">
        <v>1352</v>
      </c>
      <c r="M453" s="69" t="s">
        <v>587</v>
      </c>
      <c r="N453" s="69" t="s">
        <v>595</v>
      </c>
      <c r="O453" s="69" t="s">
        <v>1529</v>
      </c>
      <c r="P453" s="69" t="s">
        <v>125</v>
      </c>
      <c r="Q453" s="69" t="s">
        <v>906</v>
      </c>
      <c r="R453" s="69" t="s">
        <v>2629</v>
      </c>
      <c r="S453" s="69"/>
      <c r="T453" s="69"/>
      <c r="U453" s="69" t="s">
        <v>1591</v>
      </c>
      <c r="V453" s="71" t="s">
        <v>1572</v>
      </c>
      <c r="W453" s="71"/>
    </row>
    <row r="454" spans="1:23" ht="38.25" x14ac:dyDescent="0.15">
      <c r="A454" s="166"/>
      <c r="B454" s="167"/>
      <c r="C454" s="171"/>
      <c r="D454" s="67" t="s">
        <v>1568</v>
      </c>
      <c r="E454" s="68" t="s">
        <v>2125</v>
      </c>
      <c r="F454" s="68" t="s">
        <v>2712</v>
      </c>
      <c r="G454" s="69" t="s">
        <v>608</v>
      </c>
      <c r="H454" s="69" t="s">
        <v>256</v>
      </c>
      <c r="I454" s="73" t="s">
        <v>49</v>
      </c>
      <c r="J454" s="73" t="s">
        <v>1196</v>
      </c>
      <c r="K454" s="69" t="s">
        <v>169</v>
      </c>
      <c r="L454" s="69" t="s">
        <v>1352</v>
      </c>
      <c r="M454" s="69" t="s">
        <v>587</v>
      </c>
      <c r="N454" s="69" t="s">
        <v>595</v>
      </c>
      <c r="O454" s="69" t="s">
        <v>1529</v>
      </c>
      <c r="P454" s="69" t="s">
        <v>2712</v>
      </c>
      <c r="Q454" s="69" t="s">
        <v>906</v>
      </c>
      <c r="R454" s="69" t="s">
        <v>2629</v>
      </c>
      <c r="S454" s="69"/>
      <c r="T454" s="69"/>
      <c r="U454" s="69" t="s">
        <v>1591</v>
      </c>
      <c r="V454" s="71" t="s">
        <v>1572</v>
      </c>
      <c r="W454" s="71"/>
    </row>
    <row r="455" spans="1:23" ht="38.25" x14ac:dyDescent="0.15">
      <c r="A455" s="166"/>
      <c r="B455" s="165" t="s">
        <v>1842</v>
      </c>
      <c r="C455" s="171" t="s">
        <v>1165</v>
      </c>
      <c r="D455" s="67" t="s">
        <v>1568</v>
      </c>
      <c r="E455" s="68" t="s">
        <v>2140</v>
      </c>
      <c r="F455" s="68" t="s">
        <v>186</v>
      </c>
      <c r="G455" s="69" t="s">
        <v>636</v>
      </c>
      <c r="H455" s="69" t="s">
        <v>789</v>
      </c>
      <c r="I455" s="73" t="s">
        <v>2626</v>
      </c>
      <c r="J455" s="73" t="s">
        <v>253</v>
      </c>
      <c r="K455" s="69" t="s">
        <v>247</v>
      </c>
      <c r="L455" s="69" t="s">
        <v>1179</v>
      </c>
      <c r="M455" s="69" t="s">
        <v>605</v>
      </c>
      <c r="N455" s="69" t="s">
        <v>980</v>
      </c>
      <c r="O455" s="69" t="s">
        <v>546</v>
      </c>
      <c r="P455" s="69" t="s">
        <v>186</v>
      </c>
      <c r="Q455" s="69" t="s">
        <v>574</v>
      </c>
      <c r="R455" s="69" t="s">
        <v>2646</v>
      </c>
      <c r="S455" s="69"/>
      <c r="T455" s="69"/>
      <c r="U455" s="69" t="s">
        <v>1556</v>
      </c>
      <c r="V455" s="71" t="s">
        <v>1572</v>
      </c>
      <c r="W455" s="71"/>
    </row>
    <row r="456" spans="1:23" ht="25.5" x14ac:dyDescent="0.15">
      <c r="A456" s="166"/>
      <c r="B456" s="166"/>
      <c r="C456" s="171"/>
      <c r="D456" s="67" t="s">
        <v>1568</v>
      </c>
      <c r="E456" s="68" t="s">
        <v>2129</v>
      </c>
      <c r="F456" s="68" t="s">
        <v>245</v>
      </c>
      <c r="G456" s="69" t="s">
        <v>636</v>
      </c>
      <c r="H456" s="69" t="s">
        <v>789</v>
      </c>
      <c r="I456" s="73" t="s">
        <v>867</v>
      </c>
      <c r="J456" s="73" t="s">
        <v>980</v>
      </c>
      <c r="K456" s="69" t="s">
        <v>666</v>
      </c>
      <c r="L456" s="69" t="s">
        <v>980</v>
      </c>
      <c r="M456" s="69" t="s">
        <v>605</v>
      </c>
      <c r="N456" s="69" t="s">
        <v>980</v>
      </c>
      <c r="O456" s="69" t="s">
        <v>546</v>
      </c>
      <c r="P456" s="69" t="s">
        <v>245</v>
      </c>
      <c r="Q456" s="69" t="s">
        <v>574</v>
      </c>
      <c r="R456" s="69" t="s">
        <v>2646</v>
      </c>
      <c r="S456" s="69"/>
      <c r="T456" s="69"/>
      <c r="U456" s="69" t="s">
        <v>1556</v>
      </c>
      <c r="V456" s="71" t="s">
        <v>1572</v>
      </c>
      <c r="W456" s="71"/>
    </row>
    <row r="457" spans="1:23" ht="25.5" x14ac:dyDescent="0.15">
      <c r="A457" s="166"/>
      <c r="B457" s="166"/>
      <c r="C457" s="171"/>
      <c r="D457" s="67" t="s">
        <v>1568</v>
      </c>
      <c r="E457" s="68" t="s">
        <v>1988</v>
      </c>
      <c r="F457" s="68" t="s">
        <v>200</v>
      </c>
      <c r="G457" s="69" t="s">
        <v>636</v>
      </c>
      <c r="H457" s="69" t="s">
        <v>789</v>
      </c>
      <c r="I457" s="73" t="s">
        <v>867</v>
      </c>
      <c r="J457" s="73" t="s">
        <v>980</v>
      </c>
      <c r="K457" s="69" t="s">
        <v>666</v>
      </c>
      <c r="L457" s="69" t="s">
        <v>980</v>
      </c>
      <c r="M457" s="69" t="s">
        <v>605</v>
      </c>
      <c r="N457" s="69" t="s">
        <v>980</v>
      </c>
      <c r="O457" s="69" t="s">
        <v>546</v>
      </c>
      <c r="P457" s="69" t="s">
        <v>200</v>
      </c>
      <c r="Q457" s="69" t="s">
        <v>574</v>
      </c>
      <c r="R457" s="69" t="s">
        <v>2646</v>
      </c>
      <c r="S457" s="69"/>
      <c r="T457" s="69"/>
      <c r="U457" s="69" t="s">
        <v>1556</v>
      </c>
      <c r="V457" s="71" t="s">
        <v>1572</v>
      </c>
      <c r="W457" s="71"/>
    </row>
    <row r="458" spans="1:23" ht="25.5" x14ac:dyDescent="0.15">
      <c r="A458" s="166"/>
      <c r="B458" s="166"/>
      <c r="C458" s="171"/>
      <c r="D458" s="67" t="s">
        <v>1568</v>
      </c>
      <c r="E458" s="68" t="s">
        <v>2143</v>
      </c>
      <c r="F458" s="68" t="s">
        <v>269</v>
      </c>
      <c r="G458" s="69" t="s">
        <v>636</v>
      </c>
      <c r="H458" s="69" t="s">
        <v>789</v>
      </c>
      <c r="I458" s="73" t="s">
        <v>867</v>
      </c>
      <c r="J458" s="73" t="s">
        <v>980</v>
      </c>
      <c r="K458" s="69" t="s">
        <v>666</v>
      </c>
      <c r="L458" s="69" t="s">
        <v>980</v>
      </c>
      <c r="M458" s="69" t="s">
        <v>605</v>
      </c>
      <c r="N458" s="69" t="s">
        <v>980</v>
      </c>
      <c r="O458" s="69" t="s">
        <v>546</v>
      </c>
      <c r="P458" s="69" t="s">
        <v>269</v>
      </c>
      <c r="Q458" s="69" t="s">
        <v>574</v>
      </c>
      <c r="R458" s="69" t="s">
        <v>2646</v>
      </c>
      <c r="S458" s="69"/>
      <c r="T458" s="69"/>
      <c r="U458" s="69" t="s">
        <v>1556</v>
      </c>
      <c r="V458" s="71" t="s">
        <v>1572</v>
      </c>
      <c r="W458" s="71"/>
    </row>
    <row r="459" spans="1:23" ht="38.25" x14ac:dyDescent="0.15">
      <c r="A459" s="166"/>
      <c r="B459" s="166"/>
      <c r="C459" s="171"/>
      <c r="D459" s="67" t="s">
        <v>1568</v>
      </c>
      <c r="E459" s="68" t="s">
        <v>2185</v>
      </c>
      <c r="F459" s="68" t="s">
        <v>221</v>
      </c>
      <c r="G459" s="69" t="s">
        <v>636</v>
      </c>
      <c r="H459" s="69" t="s">
        <v>789</v>
      </c>
      <c r="I459" s="73" t="s">
        <v>867</v>
      </c>
      <c r="J459" s="73" t="s">
        <v>980</v>
      </c>
      <c r="K459" s="69" t="s">
        <v>666</v>
      </c>
      <c r="L459" s="69" t="s">
        <v>980</v>
      </c>
      <c r="M459" s="69" t="s">
        <v>605</v>
      </c>
      <c r="N459" s="69" t="s">
        <v>980</v>
      </c>
      <c r="O459" s="69" t="s">
        <v>546</v>
      </c>
      <c r="P459" s="69" t="s">
        <v>221</v>
      </c>
      <c r="Q459" s="69" t="s">
        <v>574</v>
      </c>
      <c r="R459" s="69" t="s">
        <v>2646</v>
      </c>
      <c r="S459" s="69"/>
      <c r="T459" s="69"/>
      <c r="U459" s="69" t="s">
        <v>1556</v>
      </c>
      <c r="V459" s="71" t="s">
        <v>1572</v>
      </c>
      <c r="W459" s="71"/>
    </row>
    <row r="460" spans="1:23" ht="25.5" x14ac:dyDescent="0.15">
      <c r="A460" s="166"/>
      <c r="B460" s="166"/>
      <c r="C460" s="171"/>
      <c r="D460" s="67" t="s">
        <v>1568</v>
      </c>
      <c r="E460" s="68" t="s">
        <v>2415</v>
      </c>
      <c r="F460" s="68" t="s">
        <v>147</v>
      </c>
      <c r="G460" s="69" t="s">
        <v>636</v>
      </c>
      <c r="H460" s="69" t="s">
        <v>789</v>
      </c>
      <c r="I460" s="73" t="s">
        <v>867</v>
      </c>
      <c r="J460" s="73" t="s">
        <v>980</v>
      </c>
      <c r="K460" s="69" t="s">
        <v>666</v>
      </c>
      <c r="L460" s="69" t="s">
        <v>980</v>
      </c>
      <c r="M460" s="69" t="s">
        <v>605</v>
      </c>
      <c r="N460" s="69" t="s">
        <v>980</v>
      </c>
      <c r="O460" s="69" t="s">
        <v>546</v>
      </c>
      <c r="P460" s="69" t="s">
        <v>147</v>
      </c>
      <c r="Q460" s="69" t="s">
        <v>574</v>
      </c>
      <c r="R460" s="69" t="s">
        <v>2646</v>
      </c>
      <c r="S460" s="69"/>
      <c r="T460" s="69"/>
      <c r="U460" s="69" t="s">
        <v>1591</v>
      </c>
      <c r="V460" s="71" t="s">
        <v>1572</v>
      </c>
      <c r="W460" s="71"/>
    </row>
    <row r="461" spans="1:23" ht="25.5" x14ac:dyDescent="0.15">
      <c r="A461" s="166"/>
      <c r="B461" s="166"/>
      <c r="C461" s="171"/>
      <c r="D461" s="67" t="s">
        <v>1568</v>
      </c>
      <c r="E461" s="68" t="s">
        <v>2183</v>
      </c>
      <c r="F461" s="68" t="s">
        <v>227</v>
      </c>
      <c r="G461" s="69" t="s">
        <v>636</v>
      </c>
      <c r="H461" s="69" t="s">
        <v>789</v>
      </c>
      <c r="I461" s="73" t="s">
        <v>867</v>
      </c>
      <c r="J461" s="73" t="s">
        <v>980</v>
      </c>
      <c r="K461" s="69" t="s">
        <v>666</v>
      </c>
      <c r="L461" s="69" t="s">
        <v>980</v>
      </c>
      <c r="M461" s="69" t="s">
        <v>605</v>
      </c>
      <c r="N461" s="69" t="s">
        <v>980</v>
      </c>
      <c r="O461" s="69" t="s">
        <v>546</v>
      </c>
      <c r="P461" s="69" t="s">
        <v>227</v>
      </c>
      <c r="Q461" s="69" t="s">
        <v>574</v>
      </c>
      <c r="R461" s="69" t="s">
        <v>2646</v>
      </c>
      <c r="S461" s="69"/>
      <c r="T461" s="69"/>
      <c r="U461" s="69" t="s">
        <v>1591</v>
      </c>
      <c r="V461" s="71" t="s">
        <v>1572</v>
      </c>
      <c r="W461" s="71"/>
    </row>
    <row r="462" spans="1:23" ht="25.5" x14ac:dyDescent="0.15">
      <c r="A462" s="166"/>
      <c r="B462" s="166"/>
      <c r="C462" s="171"/>
      <c r="D462" s="67" t="s">
        <v>1568</v>
      </c>
      <c r="E462" s="68" t="s">
        <v>2130</v>
      </c>
      <c r="F462" s="68" t="s">
        <v>238</v>
      </c>
      <c r="G462" s="69" t="s">
        <v>636</v>
      </c>
      <c r="H462" s="69" t="s">
        <v>789</v>
      </c>
      <c r="I462" s="73" t="s">
        <v>867</v>
      </c>
      <c r="J462" s="73" t="s">
        <v>980</v>
      </c>
      <c r="K462" s="69" t="s">
        <v>666</v>
      </c>
      <c r="L462" s="69" t="s">
        <v>980</v>
      </c>
      <c r="M462" s="69" t="s">
        <v>605</v>
      </c>
      <c r="N462" s="69" t="s">
        <v>980</v>
      </c>
      <c r="O462" s="69" t="s">
        <v>546</v>
      </c>
      <c r="P462" s="69" t="s">
        <v>238</v>
      </c>
      <c r="Q462" s="69" t="s">
        <v>574</v>
      </c>
      <c r="R462" s="69" t="s">
        <v>2646</v>
      </c>
      <c r="S462" s="69"/>
      <c r="T462" s="69"/>
      <c r="U462" s="69" t="s">
        <v>1591</v>
      </c>
      <c r="V462" s="71" t="s">
        <v>1572</v>
      </c>
      <c r="W462" s="71"/>
    </row>
    <row r="463" spans="1:23" ht="25.5" x14ac:dyDescent="0.15">
      <c r="A463" s="166"/>
      <c r="B463" s="166"/>
      <c r="C463" s="171"/>
      <c r="D463" s="67" t="s">
        <v>1568</v>
      </c>
      <c r="E463" s="68" t="s">
        <v>2172</v>
      </c>
      <c r="F463" s="68" t="s">
        <v>198</v>
      </c>
      <c r="G463" s="69" t="s">
        <v>636</v>
      </c>
      <c r="H463" s="69" t="s">
        <v>789</v>
      </c>
      <c r="I463" s="73" t="s">
        <v>867</v>
      </c>
      <c r="J463" s="73" t="s">
        <v>980</v>
      </c>
      <c r="K463" s="69" t="s">
        <v>666</v>
      </c>
      <c r="L463" s="69" t="s">
        <v>980</v>
      </c>
      <c r="M463" s="69" t="s">
        <v>605</v>
      </c>
      <c r="N463" s="69" t="s">
        <v>980</v>
      </c>
      <c r="O463" s="69" t="s">
        <v>546</v>
      </c>
      <c r="P463" s="69" t="s">
        <v>198</v>
      </c>
      <c r="Q463" s="69" t="s">
        <v>574</v>
      </c>
      <c r="R463" s="69" t="s">
        <v>2646</v>
      </c>
      <c r="S463" s="69"/>
      <c r="T463" s="69"/>
      <c r="U463" s="69" t="s">
        <v>1591</v>
      </c>
      <c r="V463" s="71" t="s">
        <v>1572</v>
      </c>
      <c r="W463" s="71"/>
    </row>
    <row r="464" spans="1:23" ht="38.25" x14ac:dyDescent="0.15">
      <c r="A464" s="166"/>
      <c r="B464" s="166"/>
      <c r="C464" s="171"/>
      <c r="D464" s="67" t="s">
        <v>1568</v>
      </c>
      <c r="E464" s="68" t="s">
        <v>2430</v>
      </c>
      <c r="F464" s="68" t="s">
        <v>2684</v>
      </c>
      <c r="G464" s="69" t="s">
        <v>636</v>
      </c>
      <c r="H464" s="69" t="s">
        <v>789</v>
      </c>
      <c r="I464" s="73" t="s">
        <v>867</v>
      </c>
      <c r="J464" s="73" t="s">
        <v>980</v>
      </c>
      <c r="K464" s="69" t="s">
        <v>666</v>
      </c>
      <c r="L464" s="69" t="s">
        <v>980</v>
      </c>
      <c r="M464" s="69" t="s">
        <v>605</v>
      </c>
      <c r="N464" s="69" t="s">
        <v>980</v>
      </c>
      <c r="O464" s="69" t="s">
        <v>546</v>
      </c>
      <c r="P464" s="69" t="s">
        <v>2684</v>
      </c>
      <c r="Q464" s="69" t="s">
        <v>574</v>
      </c>
      <c r="R464" s="69" t="s">
        <v>2646</v>
      </c>
      <c r="S464" s="69"/>
      <c r="T464" s="69"/>
      <c r="U464" s="69" t="s">
        <v>1591</v>
      </c>
      <c r="V464" s="71" t="s">
        <v>1572</v>
      </c>
      <c r="W464" s="71"/>
    </row>
    <row r="465" spans="1:23" ht="25.5" x14ac:dyDescent="0.15">
      <c r="A465" s="166"/>
      <c r="B465" s="166"/>
      <c r="C465" s="171"/>
      <c r="D465" s="67" t="s">
        <v>1568</v>
      </c>
      <c r="E465" s="68" t="s">
        <v>1846</v>
      </c>
      <c r="F465" s="68" t="s">
        <v>240</v>
      </c>
      <c r="G465" s="69" t="s">
        <v>636</v>
      </c>
      <c r="H465" s="69" t="s">
        <v>789</v>
      </c>
      <c r="I465" s="73" t="s">
        <v>867</v>
      </c>
      <c r="J465" s="73" t="s">
        <v>980</v>
      </c>
      <c r="K465" s="69" t="s">
        <v>666</v>
      </c>
      <c r="L465" s="69" t="s">
        <v>980</v>
      </c>
      <c r="M465" s="69" t="s">
        <v>605</v>
      </c>
      <c r="N465" s="69" t="s">
        <v>980</v>
      </c>
      <c r="O465" s="69" t="s">
        <v>546</v>
      </c>
      <c r="P465" s="69" t="s">
        <v>240</v>
      </c>
      <c r="Q465" s="69" t="s">
        <v>574</v>
      </c>
      <c r="R465" s="69" t="s">
        <v>2646</v>
      </c>
      <c r="S465" s="69"/>
      <c r="T465" s="69"/>
      <c r="U465" s="69" t="s">
        <v>1591</v>
      </c>
      <c r="V465" s="71" t="s">
        <v>1572</v>
      </c>
      <c r="W465" s="71"/>
    </row>
    <row r="466" spans="1:23" ht="25.5" x14ac:dyDescent="0.15">
      <c r="A466" s="166"/>
      <c r="B466" s="166"/>
      <c r="C466" s="171"/>
      <c r="D466" s="67" t="s">
        <v>1568</v>
      </c>
      <c r="E466" s="68" t="s">
        <v>2310</v>
      </c>
      <c r="F466" s="68" t="s">
        <v>307</v>
      </c>
      <c r="G466" s="69" t="s">
        <v>636</v>
      </c>
      <c r="H466" s="69" t="s">
        <v>789</v>
      </c>
      <c r="I466" s="73" t="s">
        <v>867</v>
      </c>
      <c r="J466" s="73" t="s">
        <v>980</v>
      </c>
      <c r="K466" s="69" t="s">
        <v>666</v>
      </c>
      <c r="L466" s="69" t="s">
        <v>980</v>
      </c>
      <c r="M466" s="69" t="s">
        <v>605</v>
      </c>
      <c r="N466" s="69" t="s">
        <v>980</v>
      </c>
      <c r="O466" s="69" t="s">
        <v>546</v>
      </c>
      <c r="P466" s="69" t="s">
        <v>307</v>
      </c>
      <c r="Q466" s="69" t="s">
        <v>574</v>
      </c>
      <c r="R466" s="69" t="s">
        <v>2646</v>
      </c>
      <c r="S466" s="69"/>
      <c r="T466" s="69"/>
      <c r="U466" s="69" t="s">
        <v>1591</v>
      </c>
      <c r="V466" s="71" t="s">
        <v>1572</v>
      </c>
      <c r="W466" s="71"/>
    </row>
    <row r="467" spans="1:23" ht="25.5" x14ac:dyDescent="0.15">
      <c r="A467" s="166"/>
      <c r="B467" s="166"/>
      <c r="C467" s="171"/>
      <c r="D467" s="67" t="s">
        <v>1568</v>
      </c>
      <c r="E467" s="68" t="s">
        <v>2286</v>
      </c>
      <c r="F467" s="68" t="s">
        <v>309</v>
      </c>
      <c r="G467" s="69" t="s">
        <v>636</v>
      </c>
      <c r="H467" s="69" t="s">
        <v>789</v>
      </c>
      <c r="I467" s="73" t="s">
        <v>867</v>
      </c>
      <c r="J467" s="73" t="s">
        <v>980</v>
      </c>
      <c r="K467" s="69" t="s">
        <v>666</v>
      </c>
      <c r="L467" s="69" t="s">
        <v>980</v>
      </c>
      <c r="M467" s="69" t="s">
        <v>605</v>
      </c>
      <c r="N467" s="69" t="s">
        <v>980</v>
      </c>
      <c r="O467" s="69" t="s">
        <v>546</v>
      </c>
      <c r="P467" s="69" t="s">
        <v>309</v>
      </c>
      <c r="Q467" s="69" t="s">
        <v>574</v>
      </c>
      <c r="R467" s="69" t="s">
        <v>2646</v>
      </c>
      <c r="S467" s="69"/>
      <c r="T467" s="69"/>
      <c r="U467" s="69" t="s">
        <v>1591</v>
      </c>
      <c r="V467" s="71" t="s">
        <v>1572</v>
      </c>
      <c r="W467" s="71"/>
    </row>
    <row r="468" spans="1:23" ht="25.5" x14ac:dyDescent="0.15">
      <c r="A468" s="166"/>
      <c r="B468" s="166"/>
      <c r="C468" s="171"/>
      <c r="D468" s="67" t="s">
        <v>1568</v>
      </c>
      <c r="E468" s="68" t="s">
        <v>2444</v>
      </c>
      <c r="F468" s="68" t="s">
        <v>286</v>
      </c>
      <c r="G468" s="69" t="s">
        <v>636</v>
      </c>
      <c r="H468" s="69" t="s">
        <v>789</v>
      </c>
      <c r="I468" s="73" t="s">
        <v>867</v>
      </c>
      <c r="J468" s="73" t="s">
        <v>980</v>
      </c>
      <c r="K468" s="69" t="s">
        <v>666</v>
      </c>
      <c r="L468" s="69" t="s">
        <v>980</v>
      </c>
      <c r="M468" s="69" t="s">
        <v>605</v>
      </c>
      <c r="N468" s="69" t="s">
        <v>980</v>
      </c>
      <c r="O468" s="69" t="s">
        <v>546</v>
      </c>
      <c r="P468" s="69" t="s">
        <v>286</v>
      </c>
      <c r="Q468" s="69" t="s">
        <v>574</v>
      </c>
      <c r="R468" s="69" t="s">
        <v>2646</v>
      </c>
      <c r="S468" s="69"/>
      <c r="T468" s="69"/>
      <c r="U468" s="69" t="s">
        <v>1591</v>
      </c>
      <c r="V468" s="71" t="s">
        <v>1572</v>
      </c>
      <c r="W468" s="71"/>
    </row>
    <row r="469" spans="1:23" ht="38.25" x14ac:dyDescent="0.15">
      <c r="A469" s="166"/>
      <c r="B469" s="166"/>
      <c r="C469" s="171"/>
      <c r="D469" s="67" t="s">
        <v>1568</v>
      </c>
      <c r="E469" s="68" t="s">
        <v>2114</v>
      </c>
      <c r="F469" s="68" t="s">
        <v>184</v>
      </c>
      <c r="G469" s="69" t="s">
        <v>636</v>
      </c>
      <c r="H469" s="69" t="s">
        <v>789</v>
      </c>
      <c r="I469" s="73" t="s">
        <v>867</v>
      </c>
      <c r="J469" s="73" t="s">
        <v>980</v>
      </c>
      <c r="K469" s="69" t="s">
        <v>666</v>
      </c>
      <c r="L469" s="69" t="s">
        <v>980</v>
      </c>
      <c r="M469" s="69" t="s">
        <v>605</v>
      </c>
      <c r="N469" s="69" t="s">
        <v>980</v>
      </c>
      <c r="O469" s="69" t="s">
        <v>546</v>
      </c>
      <c r="P469" s="69" t="s">
        <v>184</v>
      </c>
      <c r="Q469" s="69" t="s">
        <v>574</v>
      </c>
      <c r="R469" s="69" t="s">
        <v>2646</v>
      </c>
      <c r="S469" s="69"/>
      <c r="T469" s="69"/>
      <c r="U469" s="69" t="s">
        <v>1591</v>
      </c>
      <c r="V469" s="71" t="s">
        <v>1572</v>
      </c>
      <c r="W469" s="71"/>
    </row>
    <row r="470" spans="1:23" ht="25.5" x14ac:dyDescent="0.15">
      <c r="A470" s="166"/>
      <c r="B470" s="166"/>
      <c r="C470" s="171"/>
      <c r="D470" s="67" t="s">
        <v>1568</v>
      </c>
      <c r="E470" s="68" t="s">
        <v>2276</v>
      </c>
      <c r="F470" s="68" t="s">
        <v>208</v>
      </c>
      <c r="G470" s="69" t="s">
        <v>636</v>
      </c>
      <c r="H470" s="69" t="s">
        <v>789</v>
      </c>
      <c r="I470" s="73" t="s">
        <v>867</v>
      </c>
      <c r="J470" s="73" t="s">
        <v>980</v>
      </c>
      <c r="K470" s="69" t="s">
        <v>666</v>
      </c>
      <c r="L470" s="69" t="s">
        <v>980</v>
      </c>
      <c r="M470" s="69" t="s">
        <v>605</v>
      </c>
      <c r="N470" s="69" t="s">
        <v>980</v>
      </c>
      <c r="O470" s="69" t="s">
        <v>546</v>
      </c>
      <c r="P470" s="69" t="s">
        <v>208</v>
      </c>
      <c r="Q470" s="69" t="s">
        <v>574</v>
      </c>
      <c r="R470" s="69" t="s">
        <v>2646</v>
      </c>
      <c r="S470" s="69"/>
      <c r="T470" s="69"/>
      <c r="U470" s="69" t="s">
        <v>1591</v>
      </c>
      <c r="V470" s="71" t="s">
        <v>1572</v>
      </c>
      <c r="W470" s="71"/>
    </row>
    <row r="471" spans="1:23" ht="25.5" x14ac:dyDescent="0.15">
      <c r="A471" s="166"/>
      <c r="B471" s="166"/>
      <c r="C471" s="171"/>
      <c r="D471" s="67" t="s">
        <v>1568</v>
      </c>
      <c r="E471" s="68" t="s">
        <v>2277</v>
      </c>
      <c r="F471" s="68" t="s">
        <v>276</v>
      </c>
      <c r="G471" s="69" t="s">
        <v>636</v>
      </c>
      <c r="H471" s="69" t="s">
        <v>789</v>
      </c>
      <c r="I471" s="73" t="s">
        <v>867</v>
      </c>
      <c r="J471" s="73" t="s">
        <v>980</v>
      </c>
      <c r="K471" s="69" t="s">
        <v>666</v>
      </c>
      <c r="L471" s="69" t="s">
        <v>980</v>
      </c>
      <c r="M471" s="69" t="s">
        <v>605</v>
      </c>
      <c r="N471" s="69" t="s">
        <v>980</v>
      </c>
      <c r="O471" s="69" t="s">
        <v>546</v>
      </c>
      <c r="P471" s="69" t="s">
        <v>276</v>
      </c>
      <c r="Q471" s="69" t="s">
        <v>574</v>
      </c>
      <c r="R471" s="69" t="s">
        <v>2646</v>
      </c>
      <c r="S471" s="69"/>
      <c r="T471" s="69"/>
      <c r="U471" s="69" t="s">
        <v>1591</v>
      </c>
      <c r="V471" s="71" t="s">
        <v>1572</v>
      </c>
      <c r="W471" s="71"/>
    </row>
    <row r="472" spans="1:23" ht="25.5" x14ac:dyDescent="0.15">
      <c r="A472" s="166"/>
      <c r="B472" s="166"/>
      <c r="C472" s="171"/>
      <c r="D472" s="67" t="s">
        <v>1568</v>
      </c>
      <c r="E472" s="68" t="s">
        <v>2331</v>
      </c>
      <c r="F472" s="68" t="s">
        <v>278</v>
      </c>
      <c r="G472" s="69" t="s">
        <v>636</v>
      </c>
      <c r="H472" s="69" t="s">
        <v>789</v>
      </c>
      <c r="I472" s="73" t="s">
        <v>867</v>
      </c>
      <c r="J472" s="73" t="s">
        <v>980</v>
      </c>
      <c r="K472" s="69" t="s">
        <v>666</v>
      </c>
      <c r="L472" s="69" t="s">
        <v>980</v>
      </c>
      <c r="M472" s="69" t="s">
        <v>605</v>
      </c>
      <c r="N472" s="69" t="s">
        <v>980</v>
      </c>
      <c r="O472" s="69" t="s">
        <v>546</v>
      </c>
      <c r="P472" s="69" t="s">
        <v>278</v>
      </c>
      <c r="Q472" s="69" t="s">
        <v>574</v>
      </c>
      <c r="R472" s="69" t="s">
        <v>2646</v>
      </c>
      <c r="S472" s="69"/>
      <c r="T472" s="69"/>
      <c r="U472" s="69" t="s">
        <v>1591</v>
      </c>
      <c r="V472" s="71" t="s">
        <v>1572</v>
      </c>
      <c r="W472" s="71"/>
    </row>
    <row r="473" spans="1:23" ht="25.5" x14ac:dyDescent="0.15">
      <c r="A473" s="166"/>
      <c r="B473" s="166"/>
      <c r="C473" s="171"/>
      <c r="D473" s="67" t="s">
        <v>1568</v>
      </c>
      <c r="E473" s="68" t="s">
        <v>2139</v>
      </c>
      <c r="F473" s="68" t="s">
        <v>244</v>
      </c>
      <c r="G473" s="69" t="s">
        <v>636</v>
      </c>
      <c r="H473" s="69" t="s">
        <v>789</v>
      </c>
      <c r="I473" s="73" t="s">
        <v>867</v>
      </c>
      <c r="J473" s="73" t="s">
        <v>980</v>
      </c>
      <c r="K473" s="69" t="s">
        <v>666</v>
      </c>
      <c r="L473" s="69" t="s">
        <v>980</v>
      </c>
      <c r="M473" s="69" t="s">
        <v>605</v>
      </c>
      <c r="N473" s="69" t="s">
        <v>980</v>
      </c>
      <c r="O473" s="69" t="s">
        <v>546</v>
      </c>
      <c r="P473" s="69" t="s">
        <v>244</v>
      </c>
      <c r="Q473" s="69" t="s">
        <v>574</v>
      </c>
      <c r="R473" s="69" t="s">
        <v>2646</v>
      </c>
      <c r="S473" s="69"/>
      <c r="T473" s="69"/>
      <c r="U473" s="69" t="s">
        <v>1591</v>
      </c>
      <c r="V473" s="71" t="s">
        <v>1572</v>
      </c>
      <c r="W473" s="71"/>
    </row>
    <row r="474" spans="1:23" ht="38.25" x14ac:dyDescent="0.15">
      <c r="A474" s="166"/>
      <c r="B474" s="166"/>
      <c r="C474" s="171"/>
      <c r="D474" s="67" t="s">
        <v>1568</v>
      </c>
      <c r="E474" s="68" t="s">
        <v>1720</v>
      </c>
      <c r="F474" s="68" t="s">
        <v>217</v>
      </c>
      <c r="G474" s="69" t="s">
        <v>636</v>
      </c>
      <c r="H474" s="69" t="s">
        <v>789</v>
      </c>
      <c r="I474" s="73" t="s">
        <v>867</v>
      </c>
      <c r="J474" s="73" t="s">
        <v>980</v>
      </c>
      <c r="K474" s="69" t="s">
        <v>666</v>
      </c>
      <c r="L474" s="69" t="s">
        <v>980</v>
      </c>
      <c r="M474" s="69" t="s">
        <v>605</v>
      </c>
      <c r="N474" s="69" t="s">
        <v>980</v>
      </c>
      <c r="O474" s="69" t="s">
        <v>546</v>
      </c>
      <c r="P474" s="69" t="s">
        <v>217</v>
      </c>
      <c r="Q474" s="69" t="s">
        <v>574</v>
      </c>
      <c r="R474" s="69" t="s">
        <v>2646</v>
      </c>
      <c r="S474" s="69"/>
      <c r="T474" s="69"/>
      <c r="U474" s="69" t="s">
        <v>1591</v>
      </c>
      <c r="V474" s="71" t="s">
        <v>1572</v>
      </c>
      <c r="W474" s="71"/>
    </row>
    <row r="475" spans="1:23" ht="25.5" x14ac:dyDescent="0.15">
      <c r="A475" s="166"/>
      <c r="B475" s="166"/>
      <c r="C475" s="171"/>
      <c r="D475" s="67" t="s">
        <v>1568</v>
      </c>
      <c r="E475" s="68" t="s">
        <v>2507</v>
      </c>
      <c r="F475" s="68" t="s">
        <v>223</v>
      </c>
      <c r="G475" s="69" t="s">
        <v>636</v>
      </c>
      <c r="H475" s="69" t="s">
        <v>789</v>
      </c>
      <c r="I475" s="73" t="s">
        <v>867</v>
      </c>
      <c r="J475" s="73" t="s">
        <v>980</v>
      </c>
      <c r="K475" s="69" t="s">
        <v>666</v>
      </c>
      <c r="L475" s="69" t="s">
        <v>980</v>
      </c>
      <c r="M475" s="69" t="s">
        <v>605</v>
      </c>
      <c r="N475" s="69" t="s">
        <v>980</v>
      </c>
      <c r="O475" s="69" t="s">
        <v>546</v>
      </c>
      <c r="P475" s="69" t="s">
        <v>223</v>
      </c>
      <c r="Q475" s="69" t="s">
        <v>574</v>
      </c>
      <c r="R475" s="69" t="s">
        <v>2646</v>
      </c>
      <c r="S475" s="69"/>
      <c r="T475" s="69"/>
      <c r="U475" s="69" t="s">
        <v>1591</v>
      </c>
      <c r="V475" s="71" t="s">
        <v>1572</v>
      </c>
      <c r="W475" s="71"/>
    </row>
    <row r="476" spans="1:23" ht="25.5" x14ac:dyDescent="0.15">
      <c r="A476" s="166"/>
      <c r="B476" s="166"/>
      <c r="C476" s="171"/>
      <c r="D476" s="67" t="s">
        <v>1568</v>
      </c>
      <c r="E476" s="68" t="s">
        <v>2274</v>
      </c>
      <c r="F476" s="68" t="s">
        <v>257</v>
      </c>
      <c r="G476" s="69" t="s">
        <v>636</v>
      </c>
      <c r="H476" s="69" t="s">
        <v>789</v>
      </c>
      <c r="I476" s="73" t="s">
        <v>867</v>
      </c>
      <c r="J476" s="73" t="s">
        <v>980</v>
      </c>
      <c r="K476" s="69" t="s">
        <v>666</v>
      </c>
      <c r="L476" s="69" t="s">
        <v>980</v>
      </c>
      <c r="M476" s="69" t="s">
        <v>605</v>
      </c>
      <c r="N476" s="69" t="s">
        <v>980</v>
      </c>
      <c r="O476" s="69" t="s">
        <v>546</v>
      </c>
      <c r="P476" s="69" t="s">
        <v>257</v>
      </c>
      <c r="Q476" s="69" t="s">
        <v>574</v>
      </c>
      <c r="R476" s="69" t="s">
        <v>2646</v>
      </c>
      <c r="S476" s="69"/>
      <c r="T476" s="69"/>
      <c r="U476" s="69" t="s">
        <v>1591</v>
      </c>
      <c r="V476" s="71" t="s">
        <v>1572</v>
      </c>
      <c r="W476" s="71"/>
    </row>
    <row r="477" spans="1:23" ht="25.5" x14ac:dyDescent="0.15">
      <c r="A477" s="166"/>
      <c r="B477" s="166"/>
      <c r="C477" s="171"/>
      <c r="D477" s="67" t="s">
        <v>1568</v>
      </c>
      <c r="E477" s="68" t="s">
        <v>2157</v>
      </c>
      <c r="F477" s="68" t="s">
        <v>329</v>
      </c>
      <c r="G477" s="69" t="s">
        <v>636</v>
      </c>
      <c r="H477" s="69" t="s">
        <v>789</v>
      </c>
      <c r="I477" s="73" t="s">
        <v>867</v>
      </c>
      <c r="J477" s="73" t="s">
        <v>980</v>
      </c>
      <c r="K477" s="69" t="s">
        <v>666</v>
      </c>
      <c r="L477" s="69" t="s">
        <v>980</v>
      </c>
      <c r="M477" s="69" t="s">
        <v>605</v>
      </c>
      <c r="N477" s="69" t="s">
        <v>980</v>
      </c>
      <c r="O477" s="69" t="s">
        <v>546</v>
      </c>
      <c r="P477" s="69" t="s">
        <v>329</v>
      </c>
      <c r="Q477" s="69" t="s">
        <v>574</v>
      </c>
      <c r="R477" s="69" t="s">
        <v>2646</v>
      </c>
      <c r="S477" s="69"/>
      <c r="T477" s="69"/>
      <c r="U477" s="69" t="s">
        <v>1591</v>
      </c>
      <c r="V477" s="71" t="s">
        <v>1572</v>
      </c>
      <c r="W477" s="71"/>
    </row>
    <row r="478" spans="1:23" ht="25.5" x14ac:dyDescent="0.15">
      <c r="A478" s="166"/>
      <c r="B478" s="166"/>
      <c r="C478" s="171"/>
      <c r="D478" s="67" t="s">
        <v>1568</v>
      </c>
      <c r="E478" s="68" t="s">
        <v>2460</v>
      </c>
      <c r="F478" s="68" t="s">
        <v>229</v>
      </c>
      <c r="G478" s="69" t="s">
        <v>636</v>
      </c>
      <c r="H478" s="69" t="s">
        <v>789</v>
      </c>
      <c r="I478" s="73" t="s">
        <v>867</v>
      </c>
      <c r="J478" s="73" t="s">
        <v>980</v>
      </c>
      <c r="K478" s="69" t="s">
        <v>666</v>
      </c>
      <c r="L478" s="69" t="s">
        <v>980</v>
      </c>
      <c r="M478" s="69" t="s">
        <v>605</v>
      </c>
      <c r="N478" s="69" t="s">
        <v>980</v>
      </c>
      <c r="O478" s="69" t="s">
        <v>546</v>
      </c>
      <c r="P478" s="69" t="s">
        <v>229</v>
      </c>
      <c r="Q478" s="69" t="s">
        <v>574</v>
      </c>
      <c r="R478" s="69" t="s">
        <v>2646</v>
      </c>
      <c r="S478" s="69"/>
      <c r="T478" s="69"/>
      <c r="U478" s="69" t="s">
        <v>1591</v>
      </c>
      <c r="V478" s="71" t="s">
        <v>1572</v>
      </c>
      <c r="W478" s="71"/>
    </row>
    <row r="479" spans="1:23" ht="38.25" x14ac:dyDescent="0.15">
      <c r="A479" s="166"/>
      <c r="B479" s="166"/>
      <c r="C479" s="171"/>
      <c r="D479" s="67" t="s">
        <v>1568</v>
      </c>
      <c r="E479" s="68" t="s">
        <v>2433</v>
      </c>
      <c r="F479" s="68" t="s">
        <v>2688</v>
      </c>
      <c r="G479" s="69" t="s">
        <v>636</v>
      </c>
      <c r="H479" s="69" t="s">
        <v>789</v>
      </c>
      <c r="I479" s="73" t="s">
        <v>867</v>
      </c>
      <c r="J479" s="73" t="s">
        <v>980</v>
      </c>
      <c r="K479" s="69" t="s">
        <v>666</v>
      </c>
      <c r="L479" s="69" t="s">
        <v>980</v>
      </c>
      <c r="M479" s="69" t="s">
        <v>605</v>
      </c>
      <c r="N479" s="69" t="s">
        <v>980</v>
      </c>
      <c r="O479" s="69" t="s">
        <v>546</v>
      </c>
      <c r="P479" s="69" t="s">
        <v>2688</v>
      </c>
      <c r="Q479" s="69" t="s">
        <v>574</v>
      </c>
      <c r="R479" s="69" t="s">
        <v>2646</v>
      </c>
      <c r="S479" s="69"/>
      <c r="T479" s="69"/>
      <c r="U479" s="69" t="s">
        <v>1591</v>
      </c>
      <c r="V479" s="71" t="s">
        <v>1572</v>
      </c>
      <c r="W479" s="71"/>
    </row>
    <row r="480" spans="1:23" ht="25.5" x14ac:dyDescent="0.15">
      <c r="A480" s="166"/>
      <c r="B480" s="166"/>
      <c r="C480" s="171"/>
      <c r="D480" s="67" t="s">
        <v>1568</v>
      </c>
      <c r="E480" s="68" t="s">
        <v>2496</v>
      </c>
      <c r="F480" s="68" t="s">
        <v>235</v>
      </c>
      <c r="G480" s="69" t="s">
        <v>636</v>
      </c>
      <c r="H480" s="69" t="s">
        <v>789</v>
      </c>
      <c r="I480" s="73" t="s">
        <v>867</v>
      </c>
      <c r="J480" s="73" t="s">
        <v>980</v>
      </c>
      <c r="K480" s="69" t="s">
        <v>666</v>
      </c>
      <c r="L480" s="69" t="s">
        <v>980</v>
      </c>
      <c r="M480" s="69" t="s">
        <v>605</v>
      </c>
      <c r="N480" s="69" t="s">
        <v>980</v>
      </c>
      <c r="O480" s="69" t="s">
        <v>546</v>
      </c>
      <c r="P480" s="69" t="s">
        <v>235</v>
      </c>
      <c r="Q480" s="69" t="s">
        <v>574</v>
      </c>
      <c r="R480" s="69" t="s">
        <v>2646</v>
      </c>
      <c r="S480" s="69"/>
      <c r="T480" s="69"/>
      <c r="U480" s="69" t="s">
        <v>1591</v>
      </c>
      <c r="V480" s="71" t="s">
        <v>1572</v>
      </c>
      <c r="W480" s="71"/>
    </row>
    <row r="481" spans="1:23" ht="25.5" x14ac:dyDescent="0.15">
      <c r="A481" s="166"/>
      <c r="B481" s="166"/>
      <c r="C481" s="171"/>
      <c r="D481" s="67" t="s">
        <v>1568</v>
      </c>
      <c r="E481" s="68" t="s">
        <v>2337</v>
      </c>
      <c r="F481" s="68" t="s">
        <v>181</v>
      </c>
      <c r="G481" s="69" t="s">
        <v>636</v>
      </c>
      <c r="H481" s="69" t="s">
        <v>789</v>
      </c>
      <c r="I481" s="73" t="s">
        <v>867</v>
      </c>
      <c r="J481" s="73" t="s">
        <v>980</v>
      </c>
      <c r="K481" s="69" t="s">
        <v>666</v>
      </c>
      <c r="L481" s="69" t="s">
        <v>980</v>
      </c>
      <c r="M481" s="69" t="s">
        <v>605</v>
      </c>
      <c r="N481" s="69" t="s">
        <v>980</v>
      </c>
      <c r="O481" s="69" t="s">
        <v>546</v>
      </c>
      <c r="P481" s="69" t="s">
        <v>181</v>
      </c>
      <c r="Q481" s="69" t="s">
        <v>574</v>
      </c>
      <c r="R481" s="69" t="s">
        <v>2646</v>
      </c>
      <c r="S481" s="69"/>
      <c r="T481" s="69"/>
      <c r="U481" s="69" t="s">
        <v>1591</v>
      </c>
      <c r="V481" s="71" t="s">
        <v>1572</v>
      </c>
      <c r="W481" s="71"/>
    </row>
    <row r="482" spans="1:23" ht="25.5" x14ac:dyDescent="0.15">
      <c r="A482" s="166"/>
      <c r="B482" s="166"/>
      <c r="C482" s="171"/>
      <c r="D482" s="67" t="s">
        <v>1568</v>
      </c>
      <c r="E482" s="68" t="s">
        <v>2359</v>
      </c>
      <c r="F482" s="68" t="s">
        <v>203</v>
      </c>
      <c r="G482" s="69" t="s">
        <v>636</v>
      </c>
      <c r="H482" s="69" t="s">
        <v>789</v>
      </c>
      <c r="I482" s="73" t="s">
        <v>867</v>
      </c>
      <c r="J482" s="73" t="s">
        <v>980</v>
      </c>
      <c r="K482" s="69" t="s">
        <v>666</v>
      </c>
      <c r="L482" s="69" t="s">
        <v>980</v>
      </c>
      <c r="M482" s="69" t="s">
        <v>605</v>
      </c>
      <c r="N482" s="69" t="s">
        <v>980</v>
      </c>
      <c r="O482" s="69" t="s">
        <v>546</v>
      </c>
      <c r="P482" s="69" t="s">
        <v>203</v>
      </c>
      <c r="Q482" s="69" t="s">
        <v>574</v>
      </c>
      <c r="R482" s="69" t="s">
        <v>2646</v>
      </c>
      <c r="S482" s="69"/>
      <c r="T482" s="69"/>
      <c r="U482" s="69" t="s">
        <v>1591</v>
      </c>
      <c r="V482" s="71" t="s">
        <v>1572</v>
      </c>
      <c r="W482" s="71"/>
    </row>
    <row r="483" spans="1:23" ht="25.5" x14ac:dyDescent="0.15">
      <c r="A483" s="166"/>
      <c r="B483" s="166"/>
      <c r="C483" s="171"/>
      <c r="D483" s="67" t="s">
        <v>1568</v>
      </c>
      <c r="E483" s="68" t="s">
        <v>2453</v>
      </c>
      <c r="F483" s="68" t="s">
        <v>172</v>
      </c>
      <c r="G483" s="69" t="s">
        <v>636</v>
      </c>
      <c r="H483" s="69" t="s">
        <v>789</v>
      </c>
      <c r="I483" s="73" t="s">
        <v>867</v>
      </c>
      <c r="J483" s="73" t="s">
        <v>980</v>
      </c>
      <c r="K483" s="69" t="s">
        <v>666</v>
      </c>
      <c r="L483" s="69" t="s">
        <v>980</v>
      </c>
      <c r="M483" s="69" t="s">
        <v>605</v>
      </c>
      <c r="N483" s="69" t="s">
        <v>980</v>
      </c>
      <c r="O483" s="69" t="s">
        <v>546</v>
      </c>
      <c r="P483" s="69" t="s">
        <v>172</v>
      </c>
      <c r="Q483" s="69" t="s">
        <v>574</v>
      </c>
      <c r="R483" s="69" t="s">
        <v>2646</v>
      </c>
      <c r="S483" s="69"/>
      <c r="T483" s="69"/>
      <c r="U483" s="69" t="s">
        <v>1591</v>
      </c>
      <c r="V483" s="71" t="s">
        <v>1572</v>
      </c>
      <c r="W483" s="71"/>
    </row>
    <row r="484" spans="1:23" ht="38.25" x14ac:dyDescent="0.15">
      <c r="A484" s="166"/>
      <c r="B484" s="166"/>
      <c r="C484" s="171"/>
      <c r="D484" s="67" t="s">
        <v>1568</v>
      </c>
      <c r="E484" s="68" t="s">
        <v>2265</v>
      </c>
      <c r="F484" s="68" t="s">
        <v>337</v>
      </c>
      <c r="G484" s="69" t="s">
        <v>636</v>
      </c>
      <c r="H484" s="69" t="s">
        <v>789</v>
      </c>
      <c r="I484" s="73" t="s">
        <v>867</v>
      </c>
      <c r="J484" s="73" t="s">
        <v>980</v>
      </c>
      <c r="K484" s="69" t="s">
        <v>666</v>
      </c>
      <c r="L484" s="69" t="s">
        <v>980</v>
      </c>
      <c r="M484" s="69" t="s">
        <v>605</v>
      </c>
      <c r="N484" s="69" t="s">
        <v>980</v>
      </c>
      <c r="O484" s="69" t="s">
        <v>546</v>
      </c>
      <c r="P484" s="69" t="s">
        <v>337</v>
      </c>
      <c r="Q484" s="69" t="s">
        <v>574</v>
      </c>
      <c r="R484" s="69" t="s">
        <v>2646</v>
      </c>
      <c r="S484" s="69"/>
      <c r="T484" s="69"/>
      <c r="U484" s="69" t="s">
        <v>1591</v>
      </c>
      <c r="V484" s="71" t="s">
        <v>1572</v>
      </c>
      <c r="W484" s="71"/>
    </row>
    <row r="485" spans="1:23" ht="25.5" x14ac:dyDescent="0.15">
      <c r="A485" s="166"/>
      <c r="B485" s="166"/>
      <c r="C485" s="171"/>
      <c r="D485" s="67" t="s">
        <v>1568</v>
      </c>
      <c r="E485" s="68" t="s">
        <v>2161</v>
      </c>
      <c r="F485" s="68" t="s">
        <v>265</v>
      </c>
      <c r="G485" s="69" t="s">
        <v>636</v>
      </c>
      <c r="H485" s="69" t="s">
        <v>789</v>
      </c>
      <c r="I485" s="73" t="s">
        <v>867</v>
      </c>
      <c r="J485" s="73" t="s">
        <v>980</v>
      </c>
      <c r="K485" s="69" t="s">
        <v>666</v>
      </c>
      <c r="L485" s="69" t="s">
        <v>980</v>
      </c>
      <c r="M485" s="69" t="s">
        <v>605</v>
      </c>
      <c r="N485" s="69" t="s">
        <v>980</v>
      </c>
      <c r="O485" s="69" t="s">
        <v>546</v>
      </c>
      <c r="P485" s="69" t="s">
        <v>265</v>
      </c>
      <c r="Q485" s="69" t="s">
        <v>574</v>
      </c>
      <c r="R485" s="69" t="s">
        <v>2646</v>
      </c>
      <c r="S485" s="69"/>
      <c r="T485" s="69"/>
      <c r="U485" s="69" t="s">
        <v>1591</v>
      </c>
      <c r="V485" s="71" t="s">
        <v>1572</v>
      </c>
      <c r="W485" s="71"/>
    </row>
    <row r="486" spans="1:23" ht="25.5" x14ac:dyDescent="0.15">
      <c r="A486" s="166"/>
      <c r="B486" s="166"/>
      <c r="C486" s="171"/>
      <c r="D486" s="67" t="s">
        <v>1568</v>
      </c>
      <c r="E486" s="68" t="s">
        <v>2187</v>
      </c>
      <c r="F486" s="68" t="s">
        <v>157</v>
      </c>
      <c r="G486" s="69" t="s">
        <v>636</v>
      </c>
      <c r="H486" s="69" t="s">
        <v>789</v>
      </c>
      <c r="I486" s="73" t="s">
        <v>867</v>
      </c>
      <c r="J486" s="73" t="s">
        <v>980</v>
      </c>
      <c r="K486" s="69" t="s">
        <v>666</v>
      </c>
      <c r="L486" s="69" t="s">
        <v>980</v>
      </c>
      <c r="M486" s="69" t="s">
        <v>605</v>
      </c>
      <c r="N486" s="69" t="s">
        <v>980</v>
      </c>
      <c r="O486" s="69" t="s">
        <v>546</v>
      </c>
      <c r="P486" s="69" t="s">
        <v>157</v>
      </c>
      <c r="Q486" s="69" t="s">
        <v>574</v>
      </c>
      <c r="R486" s="69" t="s">
        <v>2646</v>
      </c>
      <c r="S486" s="69"/>
      <c r="T486" s="69"/>
      <c r="U486" s="69" t="s">
        <v>1591</v>
      </c>
      <c r="V486" s="71" t="s">
        <v>1572</v>
      </c>
      <c r="W486" s="71"/>
    </row>
    <row r="487" spans="1:23" ht="25.5" x14ac:dyDescent="0.15">
      <c r="A487" s="166"/>
      <c r="B487" s="166"/>
      <c r="C487" s="171"/>
      <c r="D487" s="67" t="s">
        <v>1568</v>
      </c>
      <c r="E487" s="68" t="s">
        <v>2135</v>
      </c>
      <c r="F487" s="68" t="s">
        <v>254</v>
      </c>
      <c r="G487" s="69" t="s">
        <v>636</v>
      </c>
      <c r="H487" s="69" t="s">
        <v>789</v>
      </c>
      <c r="I487" s="73" t="s">
        <v>867</v>
      </c>
      <c r="J487" s="73" t="s">
        <v>980</v>
      </c>
      <c r="K487" s="69" t="s">
        <v>666</v>
      </c>
      <c r="L487" s="69" t="s">
        <v>980</v>
      </c>
      <c r="M487" s="69" t="s">
        <v>605</v>
      </c>
      <c r="N487" s="69" t="s">
        <v>980</v>
      </c>
      <c r="O487" s="69" t="s">
        <v>546</v>
      </c>
      <c r="P487" s="69" t="s">
        <v>254</v>
      </c>
      <c r="Q487" s="69" t="s">
        <v>574</v>
      </c>
      <c r="R487" s="69" t="s">
        <v>2646</v>
      </c>
      <c r="S487" s="69"/>
      <c r="T487" s="69"/>
      <c r="U487" s="69" t="s">
        <v>1591</v>
      </c>
      <c r="V487" s="71" t="s">
        <v>1572</v>
      </c>
      <c r="W487" s="71"/>
    </row>
    <row r="488" spans="1:23" ht="25.5" x14ac:dyDescent="0.15">
      <c r="A488" s="166"/>
      <c r="B488" s="166"/>
      <c r="C488" s="171"/>
      <c r="D488" s="67" t="s">
        <v>1568</v>
      </c>
      <c r="E488" s="68" t="s">
        <v>2285</v>
      </c>
      <c r="F488" s="68" t="s">
        <v>328</v>
      </c>
      <c r="G488" s="69" t="s">
        <v>636</v>
      </c>
      <c r="H488" s="69" t="s">
        <v>789</v>
      </c>
      <c r="I488" s="73" t="s">
        <v>867</v>
      </c>
      <c r="J488" s="73" t="s">
        <v>980</v>
      </c>
      <c r="K488" s="69" t="s">
        <v>666</v>
      </c>
      <c r="L488" s="69" t="s">
        <v>980</v>
      </c>
      <c r="M488" s="69" t="s">
        <v>605</v>
      </c>
      <c r="N488" s="69" t="s">
        <v>980</v>
      </c>
      <c r="O488" s="69" t="s">
        <v>546</v>
      </c>
      <c r="P488" s="69" t="s">
        <v>328</v>
      </c>
      <c r="Q488" s="69" t="s">
        <v>574</v>
      </c>
      <c r="R488" s="69" t="s">
        <v>2646</v>
      </c>
      <c r="S488" s="69"/>
      <c r="T488" s="69"/>
      <c r="U488" s="69" t="s">
        <v>1591</v>
      </c>
      <c r="V488" s="71" t="s">
        <v>1572</v>
      </c>
      <c r="W488" s="71"/>
    </row>
    <row r="489" spans="1:23" ht="38.25" x14ac:dyDescent="0.15">
      <c r="A489" s="166"/>
      <c r="B489" s="166"/>
      <c r="C489" s="171"/>
      <c r="D489" s="67" t="s">
        <v>1568</v>
      </c>
      <c r="E489" s="68" t="s">
        <v>2437</v>
      </c>
      <c r="F489" s="68" t="s">
        <v>248</v>
      </c>
      <c r="G489" s="69" t="s">
        <v>636</v>
      </c>
      <c r="H489" s="69" t="s">
        <v>789</v>
      </c>
      <c r="I489" s="73" t="s">
        <v>867</v>
      </c>
      <c r="J489" s="73" t="s">
        <v>980</v>
      </c>
      <c r="K489" s="69" t="s">
        <v>666</v>
      </c>
      <c r="L489" s="69" t="s">
        <v>980</v>
      </c>
      <c r="M489" s="69" t="s">
        <v>605</v>
      </c>
      <c r="N489" s="69" t="s">
        <v>980</v>
      </c>
      <c r="O489" s="69" t="s">
        <v>546</v>
      </c>
      <c r="P489" s="69" t="s">
        <v>248</v>
      </c>
      <c r="Q489" s="69" t="s">
        <v>574</v>
      </c>
      <c r="R489" s="69" t="s">
        <v>2646</v>
      </c>
      <c r="S489" s="69"/>
      <c r="T489" s="69"/>
      <c r="U489" s="69" t="s">
        <v>1591</v>
      </c>
      <c r="V489" s="71" t="s">
        <v>1572</v>
      </c>
      <c r="W489" s="71"/>
    </row>
    <row r="490" spans="1:23" ht="38.25" x14ac:dyDescent="0.15">
      <c r="A490" s="166"/>
      <c r="B490" s="166"/>
      <c r="C490" s="171"/>
      <c r="D490" s="67" t="s">
        <v>1568</v>
      </c>
      <c r="E490" s="68" t="s">
        <v>2409</v>
      </c>
      <c r="F490" s="68" t="s">
        <v>2668</v>
      </c>
      <c r="G490" s="69" t="s">
        <v>636</v>
      </c>
      <c r="H490" s="69" t="s">
        <v>789</v>
      </c>
      <c r="I490" s="73" t="s">
        <v>867</v>
      </c>
      <c r="J490" s="73" t="s">
        <v>980</v>
      </c>
      <c r="K490" s="69" t="s">
        <v>666</v>
      </c>
      <c r="L490" s="69" t="s">
        <v>980</v>
      </c>
      <c r="M490" s="69" t="s">
        <v>605</v>
      </c>
      <c r="N490" s="69" t="s">
        <v>980</v>
      </c>
      <c r="O490" s="69" t="s">
        <v>546</v>
      </c>
      <c r="P490" s="69" t="s">
        <v>2668</v>
      </c>
      <c r="Q490" s="69" t="s">
        <v>574</v>
      </c>
      <c r="R490" s="69" t="s">
        <v>2646</v>
      </c>
      <c r="S490" s="69"/>
      <c r="T490" s="69"/>
      <c r="U490" s="69" t="s">
        <v>1556</v>
      </c>
      <c r="V490" s="71" t="s">
        <v>1572</v>
      </c>
      <c r="W490" s="71"/>
    </row>
    <row r="491" spans="1:23" ht="38.25" x14ac:dyDescent="0.15">
      <c r="A491" s="166"/>
      <c r="B491" s="166"/>
      <c r="C491" s="171"/>
      <c r="D491" s="67" t="s">
        <v>1568</v>
      </c>
      <c r="E491" s="68" t="s">
        <v>2322</v>
      </c>
      <c r="F491" s="68" t="s">
        <v>2649</v>
      </c>
      <c r="G491" s="69" t="s">
        <v>636</v>
      </c>
      <c r="H491" s="69" t="s">
        <v>789</v>
      </c>
      <c r="I491" s="73" t="s">
        <v>867</v>
      </c>
      <c r="J491" s="73" t="s">
        <v>980</v>
      </c>
      <c r="K491" s="69" t="s">
        <v>666</v>
      </c>
      <c r="L491" s="69" t="s">
        <v>980</v>
      </c>
      <c r="M491" s="69" t="s">
        <v>605</v>
      </c>
      <c r="N491" s="69" t="s">
        <v>980</v>
      </c>
      <c r="O491" s="69" t="s">
        <v>546</v>
      </c>
      <c r="P491" s="69" t="s">
        <v>2649</v>
      </c>
      <c r="Q491" s="69" t="s">
        <v>574</v>
      </c>
      <c r="R491" s="69" t="s">
        <v>2646</v>
      </c>
      <c r="S491" s="69"/>
      <c r="T491" s="69"/>
      <c r="U491" s="69" t="s">
        <v>1556</v>
      </c>
      <c r="V491" s="71" t="s">
        <v>1572</v>
      </c>
      <c r="W491" s="71"/>
    </row>
    <row r="492" spans="1:23" ht="38.25" x14ac:dyDescent="0.15">
      <c r="A492" s="166"/>
      <c r="B492" s="166"/>
      <c r="C492" s="171"/>
      <c r="D492" s="67" t="s">
        <v>1568</v>
      </c>
      <c r="E492" s="68" t="s">
        <v>2428</v>
      </c>
      <c r="F492" s="68" t="s">
        <v>2677</v>
      </c>
      <c r="G492" s="69" t="s">
        <v>636</v>
      </c>
      <c r="H492" s="69" t="s">
        <v>789</v>
      </c>
      <c r="I492" s="73" t="s">
        <v>867</v>
      </c>
      <c r="J492" s="73" t="s">
        <v>980</v>
      </c>
      <c r="K492" s="69" t="s">
        <v>666</v>
      </c>
      <c r="L492" s="69" t="s">
        <v>980</v>
      </c>
      <c r="M492" s="69" t="s">
        <v>605</v>
      </c>
      <c r="N492" s="69" t="s">
        <v>980</v>
      </c>
      <c r="O492" s="69" t="s">
        <v>546</v>
      </c>
      <c r="P492" s="69" t="s">
        <v>2677</v>
      </c>
      <c r="Q492" s="69" t="s">
        <v>574</v>
      </c>
      <c r="R492" s="69" t="s">
        <v>2646</v>
      </c>
      <c r="S492" s="69"/>
      <c r="T492" s="69"/>
      <c r="U492" s="69" t="s">
        <v>1556</v>
      </c>
      <c r="V492" s="71" t="s">
        <v>1572</v>
      </c>
      <c r="W492" s="71"/>
    </row>
    <row r="493" spans="1:23" ht="38.25" x14ac:dyDescent="0.15">
      <c r="A493" s="166"/>
      <c r="B493" s="166"/>
      <c r="C493" s="171"/>
      <c r="D493" s="67" t="s">
        <v>1568</v>
      </c>
      <c r="E493" s="68" t="s">
        <v>2275</v>
      </c>
      <c r="F493" s="68" t="s">
        <v>2676</v>
      </c>
      <c r="G493" s="69" t="s">
        <v>636</v>
      </c>
      <c r="H493" s="69" t="s">
        <v>789</v>
      </c>
      <c r="I493" s="73" t="s">
        <v>867</v>
      </c>
      <c r="J493" s="73" t="s">
        <v>980</v>
      </c>
      <c r="K493" s="69" t="s">
        <v>666</v>
      </c>
      <c r="L493" s="69" t="s">
        <v>980</v>
      </c>
      <c r="M493" s="69" t="s">
        <v>605</v>
      </c>
      <c r="N493" s="69" t="s">
        <v>980</v>
      </c>
      <c r="O493" s="69" t="s">
        <v>546</v>
      </c>
      <c r="P493" s="69" t="s">
        <v>2676</v>
      </c>
      <c r="Q493" s="69" t="s">
        <v>574</v>
      </c>
      <c r="R493" s="69" t="s">
        <v>2646</v>
      </c>
      <c r="S493" s="69"/>
      <c r="T493" s="69"/>
      <c r="U493" s="69" t="s">
        <v>1556</v>
      </c>
      <c r="V493" s="71" t="s">
        <v>1572</v>
      </c>
      <c r="W493" s="71"/>
    </row>
    <row r="494" spans="1:23" ht="38.25" x14ac:dyDescent="0.15">
      <c r="A494" s="166"/>
      <c r="B494" s="166"/>
      <c r="C494" s="171"/>
      <c r="D494" s="67" t="s">
        <v>1568</v>
      </c>
      <c r="E494" s="68" t="s">
        <v>2128</v>
      </c>
      <c r="F494" s="68" t="s">
        <v>2709</v>
      </c>
      <c r="G494" s="69" t="s">
        <v>636</v>
      </c>
      <c r="H494" s="69" t="s">
        <v>789</v>
      </c>
      <c r="I494" s="73" t="s">
        <v>867</v>
      </c>
      <c r="J494" s="73" t="s">
        <v>980</v>
      </c>
      <c r="K494" s="69" t="s">
        <v>666</v>
      </c>
      <c r="L494" s="69" t="s">
        <v>980</v>
      </c>
      <c r="M494" s="69" t="s">
        <v>605</v>
      </c>
      <c r="N494" s="69" t="s">
        <v>980</v>
      </c>
      <c r="O494" s="69" t="s">
        <v>546</v>
      </c>
      <c r="P494" s="69" t="s">
        <v>2709</v>
      </c>
      <c r="Q494" s="69" t="s">
        <v>574</v>
      </c>
      <c r="R494" s="69" t="s">
        <v>2646</v>
      </c>
      <c r="S494" s="69"/>
      <c r="T494" s="69"/>
      <c r="U494" s="69" t="s">
        <v>1556</v>
      </c>
      <c r="V494" s="71" t="s">
        <v>1572</v>
      </c>
      <c r="W494" s="71"/>
    </row>
    <row r="495" spans="1:23" ht="14.25" customHeight="1" x14ac:dyDescent="0.15">
      <c r="A495" s="166"/>
      <c r="B495" s="166"/>
      <c r="C495" s="171" t="s">
        <v>2427</v>
      </c>
      <c r="D495" s="67" t="s">
        <v>1568</v>
      </c>
      <c r="E495" s="68" t="s">
        <v>2169</v>
      </c>
      <c r="F495" s="68" t="s">
        <v>2092</v>
      </c>
      <c r="G495" s="69" t="s">
        <v>1428</v>
      </c>
      <c r="H495" s="69" t="s">
        <v>2131</v>
      </c>
      <c r="I495" s="73" t="s">
        <v>674</v>
      </c>
      <c r="J495" s="73" t="s">
        <v>1641</v>
      </c>
      <c r="K495" s="69" t="s">
        <v>846</v>
      </c>
      <c r="L495" s="69" t="s">
        <v>962</v>
      </c>
      <c r="M495" s="69" t="s">
        <v>885</v>
      </c>
      <c r="N495" s="69" t="s">
        <v>962</v>
      </c>
      <c r="O495" s="69" t="s">
        <v>585</v>
      </c>
      <c r="P495" s="69" t="s">
        <v>2092</v>
      </c>
      <c r="Q495" s="69" t="s">
        <v>670</v>
      </c>
      <c r="R495" s="69" t="s">
        <v>1464</v>
      </c>
      <c r="S495" s="69"/>
      <c r="T495" s="69"/>
      <c r="U495" s="69" t="s">
        <v>1556</v>
      </c>
      <c r="V495" s="71" t="s">
        <v>1572</v>
      </c>
      <c r="W495" s="71"/>
    </row>
    <row r="496" spans="1:23" x14ac:dyDescent="0.15">
      <c r="A496" s="166"/>
      <c r="B496" s="166"/>
      <c r="C496" s="171"/>
      <c r="D496" s="67" t="s">
        <v>1568</v>
      </c>
      <c r="E496" s="68" t="s">
        <v>2466</v>
      </c>
      <c r="F496" s="68" t="s">
        <v>629</v>
      </c>
      <c r="G496" s="69" t="s">
        <v>1428</v>
      </c>
      <c r="H496" s="69" t="s">
        <v>2131</v>
      </c>
      <c r="I496" s="73" t="s">
        <v>674</v>
      </c>
      <c r="J496" s="73" t="s">
        <v>1641</v>
      </c>
      <c r="K496" s="69" t="s">
        <v>846</v>
      </c>
      <c r="L496" s="69" t="s">
        <v>962</v>
      </c>
      <c r="M496" s="69" t="s">
        <v>885</v>
      </c>
      <c r="N496" s="69" t="s">
        <v>962</v>
      </c>
      <c r="O496" s="69" t="s">
        <v>585</v>
      </c>
      <c r="P496" s="69" t="s">
        <v>629</v>
      </c>
      <c r="Q496" s="69" t="s">
        <v>670</v>
      </c>
      <c r="R496" s="69" t="s">
        <v>1464</v>
      </c>
      <c r="S496" s="69"/>
      <c r="T496" s="69"/>
      <c r="U496" s="69" t="s">
        <v>1556</v>
      </c>
      <c r="V496" s="71" t="s">
        <v>1572</v>
      </c>
      <c r="W496" s="71"/>
    </row>
    <row r="497" spans="1:23" x14ac:dyDescent="0.15">
      <c r="A497" s="166"/>
      <c r="B497" s="166"/>
      <c r="C497" s="171"/>
      <c r="D497" s="67" t="s">
        <v>1568</v>
      </c>
      <c r="E497" s="68" t="s">
        <v>2282</v>
      </c>
      <c r="F497" s="68" t="s">
        <v>2358</v>
      </c>
      <c r="G497" s="69" t="s">
        <v>1428</v>
      </c>
      <c r="H497" s="69" t="s">
        <v>2131</v>
      </c>
      <c r="I497" s="73" t="s">
        <v>674</v>
      </c>
      <c r="J497" s="73" t="s">
        <v>1641</v>
      </c>
      <c r="K497" s="69" t="s">
        <v>846</v>
      </c>
      <c r="L497" s="69" t="s">
        <v>962</v>
      </c>
      <c r="M497" s="69" t="s">
        <v>885</v>
      </c>
      <c r="N497" s="69" t="s">
        <v>962</v>
      </c>
      <c r="O497" s="69" t="s">
        <v>585</v>
      </c>
      <c r="P497" s="69" t="s">
        <v>2358</v>
      </c>
      <c r="Q497" s="69" t="s">
        <v>670</v>
      </c>
      <c r="R497" s="69" t="s">
        <v>1464</v>
      </c>
      <c r="S497" s="69"/>
      <c r="T497" s="69"/>
      <c r="U497" s="69" t="s">
        <v>1556</v>
      </c>
      <c r="V497" s="71" t="s">
        <v>1572</v>
      </c>
      <c r="W497" s="71"/>
    </row>
    <row r="498" spans="1:23" x14ac:dyDescent="0.15">
      <c r="A498" s="166"/>
      <c r="B498" s="166"/>
      <c r="C498" s="171"/>
      <c r="D498" s="67" t="s">
        <v>1568</v>
      </c>
      <c r="E498" s="68" t="s">
        <v>2155</v>
      </c>
      <c r="F498" s="68" t="s">
        <v>2189</v>
      </c>
      <c r="G498" s="69" t="s">
        <v>1428</v>
      </c>
      <c r="H498" s="69" t="s">
        <v>2131</v>
      </c>
      <c r="I498" s="73" t="s">
        <v>674</v>
      </c>
      <c r="J498" s="73" t="s">
        <v>1641</v>
      </c>
      <c r="K498" s="69" t="s">
        <v>846</v>
      </c>
      <c r="L498" s="69" t="s">
        <v>962</v>
      </c>
      <c r="M498" s="69" t="s">
        <v>885</v>
      </c>
      <c r="N498" s="69" t="s">
        <v>962</v>
      </c>
      <c r="O498" s="69" t="s">
        <v>585</v>
      </c>
      <c r="P498" s="69" t="s">
        <v>2189</v>
      </c>
      <c r="Q498" s="69" t="s">
        <v>670</v>
      </c>
      <c r="R498" s="69" t="s">
        <v>1464</v>
      </c>
      <c r="S498" s="69"/>
      <c r="T498" s="69"/>
      <c r="U498" s="69" t="s">
        <v>1556</v>
      </c>
      <c r="V498" s="71" t="s">
        <v>1572</v>
      </c>
      <c r="W498" s="71"/>
    </row>
    <row r="499" spans="1:23" x14ac:dyDescent="0.15">
      <c r="A499" s="166"/>
      <c r="B499" s="166"/>
      <c r="C499" s="171"/>
      <c r="D499" s="67" t="s">
        <v>1568</v>
      </c>
      <c r="E499" s="68" t="s">
        <v>2500</v>
      </c>
      <c r="F499" s="68" t="s">
        <v>2298</v>
      </c>
      <c r="G499" s="69" t="s">
        <v>1428</v>
      </c>
      <c r="H499" s="69" t="s">
        <v>2131</v>
      </c>
      <c r="I499" s="73" t="s">
        <v>674</v>
      </c>
      <c r="J499" s="73" t="s">
        <v>1641</v>
      </c>
      <c r="K499" s="69" t="s">
        <v>846</v>
      </c>
      <c r="L499" s="69" t="s">
        <v>962</v>
      </c>
      <c r="M499" s="69" t="s">
        <v>885</v>
      </c>
      <c r="N499" s="69" t="s">
        <v>962</v>
      </c>
      <c r="O499" s="69" t="s">
        <v>585</v>
      </c>
      <c r="P499" s="69" t="s">
        <v>2298</v>
      </c>
      <c r="Q499" s="69" t="s">
        <v>670</v>
      </c>
      <c r="R499" s="69" t="s">
        <v>1464</v>
      </c>
      <c r="S499" s="69"/>
      <c r="T499" s="69"/>
      <c r="U499" s="69" t="s">
        <v>1556</v>
      </c>
      <c r="V499" s="71" t="s">
        <v>1572</v>
      </c>
      <c r="W499" s="71"/>
    </row>
    <row r="500" spans="1:23" ht="25.5" x14ac:dyDescent="0.15">
      <c r="A500" s="166"/>
      <c r="B500" s="166"/>
      <c r="C500" s="171"/>
      <c r="D500" s="67" t="s">
        <v>939</v>
      </c>
      <c r="E500" s="68" t="s">
        <v>2159</v>
      </c>
      <c r="F500" s="68" t="s">
        <v>2683</v>
      </c>
      <c r="G500" s="69" t="s">
        <v>604</v>
      </c>
      <c r="H500" s="69" t="s">
        <v>2700</v>
      </c>
      <c r="I500" s="73" t="s">
        <v>813</v>
      </c>
      <c r="J500" s="73" t="s">
        <v>2141</v>
      </c>
      <c r="K500" s="69" t="s">
        <v>1541</v>
      </c>
      <c r="L500" s="69" t="s">
        <v>1001</v>
      </c>
      <c r="M500" s="69" t="s">
        <v>550</v>
      </c>
      <c r="N500" s="69" t="s">
        <v>1001</v>
      </c>
      <c r="O500" s="69" t="s">
        <v>572</v>
      </c>
      <c r="P500" s="69" t="s">
        <v>2683</v>
      </c>
      <c r="Q500" s="69" t="s">
        <v>646</v>
      </c>
      <c r="R500" s="69" t="s">
        <v>1396</v>
      </c>
      <c r="S500" s="69"/>
      <c r="T500" s="69"/>
      <c r="U500" s="69" t="s">
        <v>1556</v>
      </c>
      <c r="V500" s="71" t="s">
        <v>1572</v>
      </c>
      <c r="W500" s="71"/>
    </row>
    <row r="501" spans="1:23" ht="25.5" x14ac:dyDescent="0.15">
      <c r="A501" s="166"/>
      <c r="B501" s="166"/>
      <c r="C501" s="171"/>
      <c r="D501" s="67" t="s">
        <v>939</v>
      </c>
      <c r="E501" s="68" t="s">
        <v>2239</v>
      </c>
      <c r="F501" s="68" t="s">
        <v>2695</v>
      </c>
      <c r="G501" s="69" t="s">
        <v>604</v>
      </c>
      <c r="H501" s="69" t="s">
        <v>2700</v>
      </c>
      <c r="I501" s="73" t="s">
        <v>813</v>
      </c>
      <c r="J501" s="73" t="s">
        <v>2141</v>
      </c>
      <c r="K501" s="69" t="s">
        <v>1541</v>
      </c>
      <c r="L501" s="69" t="s">
        <v>1001</v>
      </c>
      <c r="M501" s="69" t="s">
        <v>550</v>
      </c>
      <c r="N501" s="69" t="s">
        <v>1001</v>
      </c>
      <c r="O501" s="69" t="s">
        <v>572</v>
      </c>
      <c r="P501" s="69" t="s">
        <v>2695</v>
      </c>
      <c r="Q501" s="69" t="s">
        <v>646</v>
      </c>
      <c r="R501" s="69" t="s">
        <v>1396</v>
      </c>
      <c r="S501" s="69"/>
      <c r="T501" s="69"/>
      <c r="U501" s="69" t="s">
        <v>1556</v>
      </c>
      <c r="V501" s="71" t="s">
        <v>1572</v>
      </c>
      <c r="W501" s="71"/>
    </row>
    <row r="502" spans="1:23" ht="25.5" x14ac:dyDescent="0.15">
      <c r="A502" s="166"/>
      <c r="B502" s="166"/>
      <c r="C502" s="171"/>
      <c r="D502" s="67" t="s">
        <v>939</v>
      </c>
      <c r="E502" s="68" t="s">
        <v>2333</v>
      </c>
      <c r="F502" s="68" t="s">
        <v>2663</v>
      </c>
      <c r="G502" s="69" t="s">
        <v>604</v>
      </c>
      <c r="H502" s="69" t="s">
        <v>2700</v>
      </c>
      <c r="I502" s="73" t="s">
        <v>813</v>
      </c>
      <c r="J502" s="73" t="s">
        <v>2141</v>
      </c>
      <c r="K502" s="69" t="s">
        <v>1541</v>
      </c>
      <c r="L502" s="69" t="s">
        <v>1001</v>
      </c>
      <c r="M502" s="69" t="s">
        <v>550</v>
      </c>
      <c r="N502" s="69" t="s">
        <v>1001</v>
      </c>
      <c r="O502" s="69" t="s">
        <v>572</v>
      </c>
      <c r="P502" s="69" t="s">
        <v>2663</v>
      </c>
      <c r="Q502" s="69" t="s">
        <v>646</v>
      </c>
      <c r="R502" s="69" t="s">
        <v>1396</v>
      </c>
      <c r="S502" s="69"/>
      <c r="T502" s="69"/>
      <c r="U502" s="69" t="s">
        <v>1556</v>
      </c>
      <c r="V502" s="71" t="s">
        <v>1572</v>
      </c>
      <c r="W502" s="71"/>
    </row>
    <row r="503" spans="1:23" ht="25.5" x14ac:dyDescent="0.15">
      <c r="A503" s="166"/>
      <c r="B503" s="166"/>
      <c r="C503" s="171"/>
      <c r="D503" s="67" t="s">
        <v>939</v>
      </c>
      <c r="E503" s="68" t="s">
        <v>2242</v>
      </c>
      <c r="F503" s="68" t="s">
        <v>2672</v>
      </c>
      <c r="G503" s="69" t="s">
        <v>604</v>
      </c>
      <c r="H503" s="69" t="s">
        <v>2700</v>
      </c>
      <c r="I503" s="73" t="s">
        <v>813</v>
      </c>
      <c r="J503" s="73" t="s">
        <v>2141</v>
      </c>
      <c r="K503" s="69" t="s">
        <v>1541</v>
      </c>
      <c r="L503" s="69" t="s">
        <v>1001</v>
      </c>
      <c r="M503" s="69" t="s">
        <v>550</v>
      </c>
      <c r="N503" s="69" t="s">
        <v>1001</v>
      </c>
      <c r="O503" s="69" t="s">
        <v>572</v>
      </c>
      <c r="P503" s="69" t="s">
        <v>2672</v>
      </c>
      <c r="Q503" s="69" t="s">
        <v>646</v>
      </c>
      <c r="R503" s="69" t="s">
        <v>1396</v>
      </c>
      <c r="S503" s="69"/>
      <c r="T503" s="69"/>
      <c r="U503" s="69" t="s">
        <v>1556</v>
      </c>
      <c r="V503" s="71" t="s">
        <v>1572</v>
      </c>
      <c r="W503" s="71"/>
    </row>
    <row r="504" spans="1:23" ht="25.5" x14ac:dyDescent="0.15">
      <c r="A504" s="166"/>
      <c r="B504" s="166"/>
      <c r="C504" s="171"/>
      <c r="D504" s="67" t="s">
        <v>1568</v>
      </c>
      <c r="E504" s="68" t="s">
        <v>2170</v>
      </c>
      <c r="F504" s="68" t="s">
        <v>2641</v>
      </c>
      <c r="G504" s="69" t="s">
        <v>604</v>
      </c>
      <c r="H504" s="69" t="s">
        <v>2700</v>
      </c>
      <c r="I504" s="73" t="s">
        <v>813</v>
      </c>
      <c r="J504" s="73" t="s">
        <v>2141</v>
      </c>
      <c r="K504" s="69" t="s">
        <v>1541</v>
      </c>
      <c r="L504" s="69" t="s">
        <v>1001</v>
      </c>
      <c r="M504" s="69" t="s">
        <v>550</v>
      </c>
      <c r="N504" s="69" t="s">
        <v>1001</v>
      </c>
      <c r="O504" s="69" t="s">
        <v>572</v>
      </c>
      <c r="P504" s="69" t="s">
        <v>2641</v>
      </c>
      <c r="Q504" s="69" t="s">
        <v>646</v>
      </c>
      <c r="R504" s="69" t="s">
        <v>1396</v>
      </c>
      <c r="S504" s="69"/>
      <c r="T504" s="69"/>
      <c r="U504" s="69" t="s">
        <v>1556</v>
      </c>
      <c r="V504" s="71" t="s">
        <v>1572</v>
      </c>
      <c r="W504" s="71"/>
    </row>
    <row r="505" spans="1:23" ht="38.25" x14ac:dyDescent="0.15">
      <c r="A505" s="166"/>
      <c r="B505" s="166"/>
      <c r="C505" s="171"/>
      <c r="D505" s="67" t="s">
        <v>939</v>
      </c>
      <c r="E505" s="68" t="s">
        <v>2523</v>
      </c>
      <c r="F505" s="68" t="s">
        <v>2687</v>
      </c>
      <c r="G505" s="69" t="s">
        <v>671</v>
      </c>
      <c r="H505" s="69" t="s">
        <v>1475</v>
      </c>
      <c r="I505" s="73" t="s">
        <v>2625</v>
      </c>
      <c r="J505" s="73" t="s">
        <v>1246</v>
      </c>
      <c r="K505" s="69" t="s">
        <v>1349</v>
      </c>
      <c r="L505" s="69" t="s">
        <v>262</v>
      </c>
      <c r="M505" s="69" t="s">
        <v>1513</v>
      </c>
      <c r="N505" s="69" t="s">
        <v>2395</v>
      </c>
      <c r="O505" s="69" t="s">
        <v>1435</v>
      </c>
      <c r="P505" s="69" t="s">
        <v>2687</v>
      </c>
      <c r="Q505" s="69" t="s">
        <v>866</v>
      </c>
      <c r="R505" s="69" t="s">
        <v>2687</v>
      </c>
      <c r="S505" s="69"/>
      <c r="T505" s="69"/>
      <c r="U505" s="69" t="s">
        <v>1556</v>
      </c>
      <c r="V505" s="71" t="s">
        <v>1572</v>
      </c>
      <c r="W505" s="71"/>
    </row>
    <row r="506" spans="1:23" ht="25.5" x14ac:dyDescent="0.15">
      <c r="A506" s="166"/>
      <c r="B506" s="166"/>
      <c r="C506" s="171"/>
      <c r="D506" s="67" t="s">
        <v>939</v>
      </c>
      <c r="E506" s="68" t="s">
        <v>2165</v>
      </c>
      <c r="F506" s="68" t="s">
        <v>88</v>
      </c>
      <c r="G506" s="69" t="s">
        <v>671</v>
      </c>
      <c r="H506" s="69" t="s">
        <v>1475</v>
      </c>
      <c r="I506" s="73" t="s">
        <v>841</v>
      </c>
      <c r="J506" s="73" t="s">
        <v>2552</v>
      </c>
      <c r="K506" s="69" t="s">
        <v>1445</v>
      </c>
      <c r="L506" s="69" t="s">
        <v>929</v>
      </c>
      <c r="M506" s="69" t="s">
        <v>1513</v>
      </c>
      <c r="N506" s="69" t="s">
        <v>2395</v>
      </c>
      <c r="O506" s="69" t="s">
        <v>804</v>
      </c>
      <c r="P506" s="69" t="s">
        <v>88</v>
      </c>
      <c r="Q506" s="69" t="s">
        <v>133</v>
      </c>
      <c r="R506" s="69" t="s">
        <v>875</v>
      </c>
      <c r="S506" s="69"/>
      <c r="T506" s="69"/>
      <c r="U506" s="69" t="s">
        <v>1556</v>
      </c>
      <c r="V506" s="71" t="s">
        <v>1572</v>
      </c>
      <c r="W506" s="71"/>
    </row>
    <row r="507" spans="1:23" ht="25.5" x14ac:dyDescent="0.15">
      <c r="A507" s="166"/>
      <c r="B507" s="166"/>
      <c r="C507" s="171"/>
      <c r="D507" s="67" t="s">
        <v>939</v>
      </c>
      <c r="E507" s="68" t="s">
        <v>2258</v>
      </c>
      <c r="F507" s="68" t="s">
        <v>1406</v>
      </c>
      <c r="G507" s="69" t="s">
        <v>671</v>
      </c>
      <c r="H507" s="69" t="s">
        <v>1475</v>
      </c>
      <c r="I507" s="73" t="s">
        <v>841</v>
      </c>
      <c r="J507" s="73" t="s">
        <v>2552</v>
      </c>
      <c r="K507" s="69" t="s">
        <v>1445</v>
      </c>
      <c r="L507" s="69" t="s">
        <v>929</v>
      </c>
      <c r="M507" s="69" t="s">
        <v>1513</v>
      </c>
      <c r="N507" s="69" t="s">
        <v>2395</v>
      </c>
      <c r="O507" s="69" t="s">
        <v>804</v>
      </c>
      <c r="P507" s="69" t="s">
        <v>1406</v>
      </c>
      <c r="Q507" s="69" t="s">
        <v>133</v>
      </c>
      <c r="R507" s="69" t="s">
        <v>875</v>
      </c>
      <c r="S507" s="69"/>
      <c r="T507" s="69"/>
      <c r="U507" s="69" t="s">
        <v>1556</v>
      </c>
      <c r="V507" s="71" t="s">
        <v>1572</v>
      </c>
      <c r="W507" s="71"/>
    </row>
    <row r="508" spans="1:23" ht="25.5" x14ac:dyDescent="0.15">
      <c r="A508" s="166"/>
      <c r="B508" s="166"/>
      <c r="C508" s="171"/>
      <c r="D508" s="67" t="s">
        <v>939</v>
      </c>
      <c r="E508" s="68" t="s">
        <v>2503</v>
      </c>
      <c r="F508" s="68" t="s">
        <v>1412</v>
      </c>
      <c r="G508" s="69" t="s">
        <v>671</v>
      </c>
      <c r="H508" s="69" t="s">
        <v>1475</v>
      </c>
      <c r="I508" s="73" t="s">
        <v>841</v>
      </c>
      <c r="J508" s="73" t="s">
        <v>2552</v>
      </c>
      <c r="K508" s="69" t="s">
        <v>1445</v>
      </c>
      <c r="L508" s="69" t="s">
        <v>929</v>
      </c>
      <c r="M508" s="69" t="s">
        <v>1513</v>
      </c>
      <c r="N508" s="69" t="s">
        <v>2395</v>
      </c>
      <c r="O508" s="69" t="s">
        <v>804</v>
      </c>
      <c r="P508" s="69" t="s">
        <v>1412</v>
      </c>
      <c r="Q508" s="69" t="s">
        <v>133</v>
      </c>
      <c r="R508" s="69" t="s">
        <v>875</v>
      </c>
      <c r="S508" s="69"/>
      <c r="T508" s="69"/>
      <c r="U508" s="69" t="s">
        <v>1556</v>
      </c>
      <c r="V508" s="71" t="s">
        <v>1572</v>
      </c>
      <c r="W508" s="71"/>
    </row>
    <row r="509" spans="1:23" ht="25.5" x14ac:dyDescent="0.15">
      <c r="A509" s="166"/>
      <c r="B509" s="166"/>
      <c r="C509" s="171"/>
      <c r="D509" s="67" t="s">
        <v>939</v>
      </c>
      <c r="E509" s="68" t="s">
        <v>2421</v>
      </c>
      <c r="F509" s="68" t="s">
        <v>1460</v>
      </c>
      <c r="G509" s="69" t="s">
        <v>671</v>
      </c>
      <c r="H509" s="69" t="s">
        <v>1475</v>
      </c>
      <c r="I509" s="73" t="s">
        <v>841</v>
      </c>
      <c r="J509" s="73" t="s">
        <v>2552</v>
      </c>
      <c r="K509" s="69" t="s">
        <v>1445</v>
      </c>
      <c r="L509" s="69" t="s">
        <v>929</v>
      </c>
      <c r="M509" s="69" t="s">
        <v>1513</v>
      </c>
      <c r="N509" s="69" t="s">
        <v>2395</v>
      </c>
      <c r="O509" s="69" t="s">
        <v>804</v>
      </c>
      <c r="P509" s="69" t="s">
        <v>1460</v>
      </c>
      <c r="Q509" s="69" t="s">
        <v>133</v>
      </c>
      <c r="R509" s="69" t="s">
        <v>875</v>
      </c>
      <c r="S509" s="69"/>
      <c r="T509" s="69"/>
      <c r="U509" s="69" t="s">
        <v>1556</v>
      </c>
      <c r="V509" s="71" t="s">
        <v>1572</v>
      </c>
      <c r="W509" s="71"/>
    </row>
    <row r="510" spans="1:23" ht="25.5" x14ac:dyDescent="0.15">
      <c r="A510" s="166"/>
      <c r="B510" s="166"/>
      <c r="C510" s="171"/>
      <c r="D510" s="67" t="s">
        <v>1568</v>
      </c>
      <c r="E510" s="68" t="s">
        <v>2491</v>
      </c>
      <c r="F510" s="68" t="s">
        <v>1248</v>
      </c>
      <c r="G510" s="69" t="s">
        <v>671</v>
      </c>
      <c r="H510" s="69" t="s">
        <v>1475</v>
      </c>
      <c r="I510" s="73" t="s">
        <v>841</v>
      </c>
      <c r="J510" s="73" t="s">
        <v>2552</v>
      </c>
      <c r="K510" s="69" t="s">
        <v>1445</v>
      </c>
      <c r="L510" s="69" t="s">
        <v>929</v>
      </c>
      <c r="M510" s="69" t="s">
        <v>1513</v>
      </c>
      <c r="N510" s="69" t="s">
        <v>2395</v>
      </c>
      <c r="O510" s="69" t="s">
        <v>804</v>
      </c>
      <c r="P510" s="69" t="s">
        <v>1248</v>
      </c>
      <c r="Q510" s="69" t="s">
        <v>133</v>
      </c>
      <c r="R510" s="69" t="s">
        <v>875</v>
      </c>
      <c r="S510" s="69"/>
      <c r="T510" s="69"/>
      <c r="U510" s="69" t="s">
        <v>1556</v>
      </c>
      <c r="V510" s="71" t="s">
        <v>1572</v>
      </c>
      <c r="W510" s="71"/>
    </row>
    <row r="511" spans="1:23" ht="63.75" x14ac:dyDescent="0.15">
      <c r="A511" s="166"/>
      <c r="B511" s="166"/>
      <c r="C511" s="171"/>
      <c r="D511" s="67" t="s">
        <v>1568</v>
      </c>
      <c r="E511" s="68" t="s">
        <v>2396</v>
      </c>
      <c r="F511" s="68" t="s">
        <v>207</v>
      </c>
      <c r="G511" s="69" t="s">
        <v>1534</v>
      </c>
      <c r="H511" s="69" t="s">
        <v>160</v>
      </c>
      <c r="I511" s="73" t="s">
        <v>714</v>
      </c>
      <c r="J511" s="73" t="s">
        <v>1354</v>
      </c>
      <c r="K511" s="69" t="s">
        <v>479</v>
      </c>
      <c r="L511" s="69" t="s">
        <v>2656</v>
      </c>
      <c r="M511" s="69" t="s">
        <v>1550</v>
      </c>
      <c r="N511" s="69" t="s">
        <v>997</v>
      </c>
      <c r="O511" s="69" t="s">
        <v>603</v>
      </c>
      <c r="P511" s="69" t="s">
        <v>207</v>
      </c>
      <c r="Q511" s="69" t="s">
        <v>559</v>
      </c>
      <c r="R511" s="69" t="s">
        <v>207</v>
      </c>
      <c r="S511" s="69"/>
      <c r="T511" s="69"/>
      <c r="U511" s="69" t="s">
        <v>1591</v>
      </c>
      <c r="V511" s="71" t="s">
        <v>1572</v>
      </c>
      <c r="W511" s="71"/>
    </row>
    <row r="512" spans="1:23" ht="38.25" x14ac:dyDescent="0.15">
      <c r="A512" s="166"/>
      <c r="B512" s="166"/>
      <c r="C512" s="171"/>
      <c r="D512" s="67" t="s">
        <v>939</v>
      </c>
      <c r="E512" s="68" t="s">
        <v>2411</v>
      </c>
      <c r="F512" s="68" t="s">
        <v>2701</v>
      </c>
      <c r="G512" s="69" t="s">
        <v>1534</v>
      </c>
      <c r="H512" s="69" t="s">
        <v>160</v>
      </c>
      <c r="I512" s="73" t="s">
        <v>565</v>
      </c>
      <c r="J512" s="73" t="s">
        <v>997</v>
      </c>
      <c r="K512" s="69" t="s">
        <v>1553</v>
      </c>
      <c r="L512" s="69" t="s">
        <v>997</v>
      </c>
      <c r="M512" s="69" t="s">
        <v>1550</v>
      </c>
      <c r="N512" s="69" t="s">
        <v>997</v>
      </c>
      <c r="O512" s="69" t="s">
        <v>603</v>
      </c>
      <c r="P512" s="69" t="s">
        <v>2701</v>
      </c>
      <c r="Q512" s="69" t="s">
        <v>559</v>
      </c>
      <c r="R512" s="69" t="s">
        <v>207</v>
      </c>
      <c r="S512" s="69"/>
      <c r="T512" s="69"/>
      <c r="U512" s="69" t="s">
        <v>1591</v>
      </c>
      <c r="V512" s="71" t="s">
        <v>1572</v>
      </c>
      <c r="W512" s="71"/>
    </row>
    <row r="513" spans="1:23" ht="38.25" x14ac:dyDescent="0.15">
      <c r="A513" s="166"/>
      <c r="B513" s="166"/>
      <c r="C513" s="171"/>
      <c r="D513" s="67" t="s">
        <v>939</v>
      </c>
      <c r="E513" s="68" t="s">
        <v>2455</v>
      </c>
      <c r="F513" s="68" t="s">
        <v>2702</v>
      </c>
      <c r="G513" s="69" t="s">
        <v>1534</v>
      </c>
      <c r="H513" s="69" t="s">
        <v>160</v>
      </c>
      <c r="I513" s="73" t="s">
        <v>565</v>
      </c>
      <c r="J513" s="73" t="s">
        <v>997</v>
      </c>
      <c r="K513" s="69" t="s">
        <v>1553</v>
      </c>
      <c r="L513" s="69" t="s">
        <v>997</v>
      </c>
      <c r="M513" s="69" t="s">
        <v>1550</v>
      </c>
      <c r="N513" s="69" t="s">
        <v>997</v>
      </c>
      <c r="O513" s="69" t="s">
        <v>603</v>
      </c>
      <c r="P513" s="69" t="s">
        <v>2702</v>
      </c>
      <c r="Q513" s="69" t="s">
        <v>559</v>
      </c>
      <c r="R513" s="69" t="s">
        <v>207</v>
      </c>
      <c r="S513" s="69"/>
      <c r="T513" s="69"/>
      <c r="U513" s="69" t="s">
        <v>1591</v>
      </c>
      <c r="V513" s="71" t="s">
        <v>1572</v>
      </c>
      <c r="W513" s="71"/>
    </row>
    <row r="514" spans="1:23" ht="38.25" x14ac:dyDescent="0.15">
      <c r="A514" s="166"/>
      <c r="B514" s="166"/>
      <c r="C514" s="171"/>
      <c r="D514" s="67" t="s">
        <v>1568</v>
      </c>
      <c r="E514" s="68" t="s">
        <v>2426</v>
      </c>
      <c r="F514" s="68" t="s">
        <v>97</v>
      </c>
      <c r="G514" s="69" t="s">
        <v>1534</v>
      </c>
      <c r="H514" s="69" t="s">
        <v>160</v>
      </c>
      <c r="I514" s="73" t="s">
        <v>565</v>
      </c>
      <c r="J514" s="73" t="s">
        <v>997</v>
      </c>
      <c r="K514" s="69" t="s">
        <v>1553</v>
      </c>
      <c r="L514" s="69" t="s">
        <v>997</v>
      </c>
      <c r="M514" s="69" t="s">
        <v>1550</v>
      </c>
      <c r="N514" s="69" t="s">
        <v>997</v>
      </c>
      <c r="O514" s="69" t="s">
        <v>603</v>
      </c>
      <c r="P514" s="69" t="s">
        <v>97</v>
      </c>
      <c r="Q514" s="69" t="s">
        <v>559</v>
      </c>
      <c r="R514" s="69" t="s">
        <v>207</v>
      </c>
      <c r="S514" s="69"/>
      <c r="T514" s="69"/>
      <c r="U514" s="69" t="s">
        <v>1591</v>
      </c>
      <c r="V514" s="71" t="s">
        <v>1572</v>
      </c>
      <c r="W514" s="71"/>
    </row>
    <row r="515" spans="1:23" x14ac:dyDescent="0.15">
      <c r="A515" s="166"/>
      <c r="B515" s="166"/>
      <c r="C515" s="171"/>
      <c r="D515" s="67" t="s">
        <v>939</v>
      </c>
      <c r="E515" s="68" t="s">
        <v>2446</v>
      </c>
      <c r="F515" s="68" t="s">
        <v>2181</v>
      </c>
      <c r="G515" s="69" t="s">
        <v>1534</v>
      </c>
      <c r="H515" s="69" t="s">
        <v>2404</v>
      </c>
      <c r="I515" s="73" t="s">
        <v>649</v>
      </c>
      <c r="J515" s="73" t="s">
        <v>2405</v>
      </c>
      <c r="K515" s="69" t="s">
        <v>1444</v>
      </c>
      <c r="L515" s="69" t="s">
        <v>2405</v>
      </c>
      <c r="M515" s="69" t="s">
        <v>826</v>
      </c>
      <c r="N515" s="69" t="s">
        <v>2405</v>
      </c>
      <c r="O515" s="69" t="s">
        <v>860</v>
      </c>
      <c r="P515" s="69" t="s">
        <v>2181</v>
      </c>
      <c r="Q515" s="69" t="s">
        <v>598</v>
      </c>
      <c r="R515" s="69" t="s">
        <v>2099</v>
      </c>
      <c r="S515" s="69"/>
      <c r="T515" s="69"/>
      <c r="U515" s="69" t="s">
        <v>1556</v>
      </c>
      <c r="V515" s="71" t="s">
        <v>1572</v>
      </c>
      <c r="W515" s="71"/>
    </row>
    <row r="516" spans="1:23" x14ac:dyDescent="0.15">
      <c r="A516" s="166"/>
      <c r="B516" s="166"/>
      <c r="C516" s="171"/>
      <c r="D516" s="67" t="s">
        <v>939</v>
      </c>
      <c r="E516" s="68" t="s">
        <v>2516</v>
      </c>
      <c r="F516" s="68" t="s">
        <v>2171</v>
      </c>
      <c r="G516" s="69" t="s">
        <v>1534</v>
      </c>
      <c r="H516" s="69" t="s">
        <v>2404</v>
      </c>
      <c r="I516" s="73" t="s">
        <v>649</v>
      </c>
      <c r="J516" s="73" t="s">
        <v>2405</v>
      </c>
      <c r="K516" s="69" t="s">
        <v>1444</v>
      </c>
      <c r="L516" s="69" t="s">
        <v>2405</v>
      </c>
      <c r="M516" s="69" t="s">
        <v>826</v>
      </c>
      <c r="N516" s="69" t="s">
        <v>2405</v>
      </c>
      <c r="O516" s="69" t="s">
        <v>860</v>
      </c>
      <c r="P516" s="69" t="s">
        <v>2171</v>
      </c>
      <c r="Q516" s="69" t="s">
        <v>598</v>
      </c>
      <c r="R516" s="69" t="s">
        <v>2099</v>
      </c>
      <c r="S516" s="69"/>
      <c r="T516" s="69"/>
      <c r="U516" s="69" t="s">
        <v>1556</v>
      </c>
      <c r="V516" s="71" t="s">
        <v>1572</v>
      </c>
      <c r="W516" s="71"/>
    </row>
    <row r="517" spans="1:23" x14ac:dyDescent="0.15">
      <c r="A517" s="166"/>
      <c r="B517" s="166"/>
      <c r="C517" s="171"/>
      <c r="D517" s="67" t="s">
        <v>939</v>
      </c>
      <c r="E517" s="68" t="s">
        <v>2363</v>
      </c>
      <c r="F517" s="68" t="s">
        <v>1855</v>
      </c>
      <c r="G517" s="69" t="s">
        <v>1534</v>
      </c>
      <c r="H517" s="69" t="s">
        <v>2404</v>
      </c>
      <c r="I517" s="73" t="s">
        <v>649</v>
      </c>
      <c r="J517" s="73" t="s">
        <v>2405</v>
      </c>
      <c r="K517" s="69" t="s">
        <v>1444</v>
      </c>
      <c r="L517" s="69" t="s">
        <v>2405</v>
      </c>
      <c r="M517" s="69" t="s">
        <v>826</v>
      </c>
      <c r="N517" s="69" t="s">
        <v>2405</v>
      </c>
      <c r="O517" s="69" t="s">
        <v>860</v>
      </c>
      <c r="P517" s="69" t="s">
        <v>1855</v>
      </c>
      <c r="Q517" s="69" t="s">
        <v>598</v>
      </c>
      <c r="R517" s="69" t="s">
        <v>2099</v>
      </c>
      <c r="S517" s="69"/>
      <c r="T517" s="69"/>
      <c r="U517" s="69" t="s">
        <v>1556</v>
      </c>
      <c r="V517" s="71" t="s">
        <v>1572</v>
      </c>
      <c r="W517" s="71"/>
    </row>
    <row r="518" spans="1:23" x14ac:dyDescent="0.15">
      <c r="A518" s="166"/>
      <c r="B518" s="166"/>
      <c r="C518" s="171"/>
      <c r="D518" s="67" t="s">
        <v>939</v>
      </c>
      <c r="E518" s="68" t="s">
        <v>2397</v>
      </c>
      <c r="F518" s="68" t="s">
        <v>2164</v>
      </c>
      <c r="G518" s="69" t="s">
        <v>1534</v>
      </c>
      <c r="H518" s="69" t="s">
        <v>2404</v>
      </c>
      <c r="I518" s="73" t="s">
        <v>649</v>
      </c>
      <c r="J518" s="73" t="s">
        <v>2405</v>
      </c>
      <c r="K518" s="69" t="s">
        <v>1444</v>
      </c>
      <c r="L518" s="69" t="s">
        <v>2405</v>
      </c>
      <c r="M518" s="69" t="s">
        <v>826</v>
      </c>
      <c r="N518" s="69" t="s">
        <v>2405</v>
      </c>
      <c r="O518" s="69" t="s">
        <v>860</v>
      </c>
      <c r="P518" s="69" t="s">
        <v>2164</v>
      </c>
      <c r="Q518" s="69" t="s">
        <v>598</v>
      </c>
      <c r="R518" s="69" t="s">
        <v>2099</v>
      </c>
      <c r="S518" s="69"/>
      <c r="T518" s="69"/>
      <c r="U518" s="69" t="s">
        <v>1556</v>
      </c>
      <c r="V518" s="71" t="s">
        <v>1572</v>
      </c>
      <c r="W518" s="71"/>
    </row>
    <row r="519" spans="1:23" x14ac:dyDescent="0.15">
      <c r="A519" s="167"/>
      <c r="B519" s="167"/>
      <c r="C519" s="171"/>
      <c r="D519" s="67" t="s">
        <v>1568</v>
      </c>
      <c r="E519" s="68" t="s">
        <v>2112</v>
      </c>
      <c r="F519" s="68" t="s">
        <v>1471</v>
      </c>
      <c r="G519" s="69" t="s">
        <v>1534</v>
      </c>
      <c r="H519" s="69" t="s">
        <v>2404</v>
      </c>
      <c r="I519" s="73" t="s">
        <v>649</v>
      </c>
      <c r="J519" s="73" t="s">
        <v>2405</v>
      </c>
      <c r="K519" s="69" t="s">
        <v>1444</v>
      </c>
      <c r="L519" s="69" t="s">
        <v>2405</v>
      </c>
      <c r="M519" s="69" t="s">
        <v>826</v>
      </c>
      <c r="N519" s="69" t="s">
        <v>2405</v>
      </c>
      <c r="O519" s="69" t="s">
        <v>860</v>
      </c>
      <c r="P519" s="69" t="s">
        <v>1471</v>
      </c>
      <c r="Q519" s="69" t="s">
        <v>598</v>
      </c>
      <c r="R519" s="69" t="s">
        <v>2099</v>
      </c>
      <c r="S519" s="69"/>
      <c r="T519" s="69"/>
      <c r="U519" s="69" t="s">
        <v>1556</v>
      </c>
      <c r="V519" s="71" t="s">
        <v>1572</v>
      </c>
      <c r="W519" s="71"/>
    </row>
  </sheetData>
  <mergeCells count="95">
    <mergeCell ref="A1:U1"/>
    <mergeCell ref="A2:C2"/>
    <mergeCell ref="D2:G2"/>
    <mergeCell ref="H2:I2"/>
    <mergeCell ref="J2:W2"/>
    <mergeCell ref="A3:C3"/>
    <mergeCell ref="D3:G3"/>
    <mergeCell ref="H3:I3"/>
    <mergeCell ref="J3:W3"/>
    <mergeCell ref="A4:U4"/>
    <mergeCell ref="A5:C7"/>
    <mergeCell ref="D5:F5"/>
    <mergeCell ref="G5:H5"/>
    <mergeCell ref="I5:P5"/>
    <mergeCell ref="Q5:T5"/>
    <mergeCell ref="U5:U7"/>
    <mergeCell ref="V5:V7"/>
    <mergeCell ref="W5:W7"/>
    <mergeCell ref="D6:F6"/>
    <mergeCell ref="G6:H6"/>
    <mergeCell ref="I6:J6"/>
    <mergeCell ref="K6:L6"/>
    <mergeCell ref="M6:N6"/>
    <mergeCell ref="O6:P6"/>
    <mergeCell ref="Q6:R6"/>
    <mergeCell ref="S6:T6"/>
    <mergeCell ref="A8:A186"/>
    <mergeCell ref="B8:B114"/>
    <mergeCell ref="C8:C17"/>
    <mergeCell ref="I8:N8"/>
    <mergeCell ref="I9:N9"/>
    <mergeCell ref="I10:N10"/>
    <mergeCell ref="I11:N11"/>
    <mergeCell ref="I12:N12"/>
    <mergeCell ref="C18:C44"/>
    <mergeCell ref="C45:C50"/>
    <mergeCell ref="C51:C71"/>
    <mergeCell ref="C72:C77"/>
    <mergeCell ref="C78:C102"/>
    <mergeCell ref="C103:C114"/>
    <mergeCell ref="B115:B134"/>
    <mergeCell ref="C115:C126"/>
    <mergeCell ref="C127:C128"/>
    <mergeCell ref="C129:C134"/>
    <mergeCell ref="B135:B143"/>
    <mergeCell ref="C135:C143"/>
    <mergeCell ref="B144:B186"/>
    <mergeCell ref="C144:C186"/>
    <mergeCell ref="A187:A269"/>
    <mergeCell ref="B187:B223"/>
    <mergeCell ref="C187:C208"/>
    <mergeCell ref="C209:C213"/>
    <mergeCell ref="C214:C223"/>
    <mergeCell ref="B224:B269"/>
    <mergeCell ref="C224:C237"/>
    <mergeCell ref="C256:C269"/>
    <mergeCell ref="I224:L224"/>
    <mergeCell ref="I225:L225"/>
    <mergeCell ref="I226:L226"/>
    <mergeCell ref="C238:C250"/>
    <mergeCell ref="C251:C255"/>
    <mergeCell ref="A270:A358"/>
    <mergeCell ref="B270:B314"/>
    <mergeCell ref="C270:C282"/>
    <mergeCell ref="C283:C287"/>
    <mergeCell ref="C288:C292"/>
    <mergeCell ref="C293:C306"/>
    <mergeCell ref="C307:C314"/>
    <mergeCell ref="B315:B358"/>
    <mergeCell ref="C315:C322"/>
    <mergeCell ref="C323:C358"/>
    <mergeCell ref="A359:A383"/>
    <mergeCell ref="B359:B361"/>
    <mergeCell ref="C359:C361"/>
    <mergeCell ref="B362:B379"/>
    <mergeCell ref="C362:C379"/>
    <mergeCell ref="B380:B383"/>
    <mergeCell ref="C380:C383"/>
    <mergeCell ref="A395:A519"/>
    <mergeCell ref="B395:B402"/>
    <mergeCell ref="C395:C399"/>
    <mergeCell ref="C400:C402"/>
    <mergeCell ref="G401:U402"/>
    <mergeCell ref="B403:B445"/>
    <mergeCell ref="C403:C445"/>
    <mergeCell ref="B446:B454"/>
    <mergeCell ref="C446:C454"/>
    <mergeCell ref="B455:B519"/>
    <mergeCell ref="C455:C494"/>
    <mergeCell ref="C495:C519"/>
    <mergeCell ref="B384:B394"/>
    <mergeCell ref="C384:C394"/>
    <mergeCell ref="G384:U394"/>
    <mergeCell ref="W384:W394"/>
    <mergeCell ref="W401:W402"/>
  </mergeCells>
  <phoneticPr fontId="18" type="noConversion"/>
  <pageMargins left="0.69972223043441772" right="0.69972223043441772" top="0.75" bottom="0.75" header="0.30000001192092896" footer="0.30000001192092896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382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2</vt:i4>
      </vt:variant>
    </vt:vector>
  </HeadingPairs>
  <TitlesOfParts>
    <vt:vector size="5" baseType="lpstr">
      <vt:lpstr>양식</vt:lpstr>
      <vt:lpstr>단위테스트결과서</vt:lpstr>
      <vt:lpstr>풍수해피해예측시스템</vt:lpstr>
      <vt:lpstr>단위테스트결과서!Print_Area</vt:lpstr>
      <vt:lpstr>양식!Print_Area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통합시험시나리오</dc:title>
  <dc:subject>통합시험시나리오</dc:subject>
  <dc:creator>임채현</dc:creator>
  <cp:keywords>2023-05-31</cp:keywords>
  <dc:description>㈜에이투지시스템의 사전승인 없이 본 내용의 전부 또는 일부에 대한 복사, 전재, 배포, 사용을 금합니다.</dc:description>
  <cp:lastModifiedBy>ATOZsystem</cp:lastModifiedBy>
  <cp:revision>400</cp:revision>
  <cp:lastPrinted>2014-12-18T01:21:06Z</cp:lastPrinted>
  <dcterms:created xsi:type="dcterms:W3CDTF">2003-04-29T10:28:14Z</dcterms:created>
  <dcterms:modified xsi:type="dcterms:W3CDTF">2026-07-08T05:37:46Z</dcterms:modified>
  <cp:category>2023년 지능형 수입식품 통합시스템 고도화</cp:category>
  <cp:contentStatus>V0.1</cp:contentStatus>
  <cp:version>1300.0100.01</cp:version>
</cp:coreProperties>
</file>